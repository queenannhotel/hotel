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0" activeTab="2" autoFilterDateGrouping="1"/>
  </bookViews>
  <sheets>
    <sheet name="BANG TINH" sheetId="1" state="visible" r:id="rId1"/>
    <sheet name="DINH MUC" sheetId="2" state="visible" r:id="rId2"/>
    <sheet name="LICH TRINH PHONG" sheetId="3" state="visible" r:id="rId3"/>
    <sheet name="XEP LICH LAM PHONG" sheetId="4" state="visible" r:id="rId4"/>
  </sheets>
  <definedNames/>
  <calcPr calcId="191028" fullCalcOnLoad="1" iterateDelta="0.0001"/>
</workbook>
</file>

<file path=xl/styles.xml><?xml version="1.0" encoding="utf-8"?>
<styleSheet xmlns="http://schemas.openxmlformats.org/spreadsheetml/2006/main">
  <numFmts count="2">
    <numFmt numFmtId="164" formatCode="dd/mm/yyyy"/>
    <numFmt numFmtId="165" formatCode="0.0"/>
  </numFmts>
  <fonts count="29">
    <font>
      <name val="Calibri"/>
      <charset val="1"/>
      <family val="2"/>
      <color theme="1"/>
      <sz val="11"/>
    </font>
    <font>
      <name val="Arial"/>
      <charset val="1"/>
      <b val="1"/>
      <color rgb="FFFFFFFF"/>
      <sz val="18"/>
    </font>
    <font>
      <name val="Arial"/>
      <charset val="1"/>
      <b val="1"/>
      <sz val="10"/>
    </font>
    <font>
      <name val="Arial"/>
      <charset val="1"/>
      <b val="1"/>
      <color rgb="FF0000FF"/>
      <sz val="10"/>
    </font>
    <font>
      <name val="Arial"/>
      <charset val="1"/>
      <sz val="10"/>
    </font>
    <font>
      <name val="Arial"/>
      <charset val="1"/>
      <b val="1"/>
      <color rgb="FFC00000"/>
      <sz val="10"/>
    </font>
    <font>
      <name val="Arial"/>
      <charset val="1"/>
      <b val="1"/>
      <color rgb="FF595959"/>
      <sz val="10"/>
    </font>
    <font>
      <name val="Arial"/>
      <charset val="1"/>
      <b val="1"/>
      <color rgb="FF1F4E78"/>
      <sz val="26"/>
    </font>
    <font>
      <name val="Arial"/>
      <charset val="1"/>
      <b val="1"/>
      <color rgb="FFFFFFFF"/>
      <sz val="12"/>
    </font>
    <font>
      <name val="Arial"/>
      <charset val="1"/>
      <b val="1"/>
      <color rgb="FFC65911"/>
      <sz val="10"/>
    </font>
    <font>
      <name val="Arial"/>
      <charset val="1"/>
      <b val="1"/>
      <color rgb="FFFFFFFF"/>
      <sz val="11"/>
    </font>
    <font>
      <name val="Arial"/>
      <charset val="1"/>
      <i val="1"/>
      <color rgb="FF808080"/>
      <sz val="9"/>
    </font>
    <font>
      <name val="Arial"/>
      <charset val="1"/>
      <b val="1"/>
      <color rgb="FFFFFFFF"/>
      <sz val="13"/>
    </font>
    <font>
      <name val="Arial"/>
      <charset val="1"/>
      <b val="1"/>
      <color rgb="FFFFFFFF"/>
      <sz val="16"/>
    </font>
    <font>
      <name val="Arial"/>
      <charset val="1"/>
      <b val="1"/>
      <color rgb="FF595959"/>
      <sz val="9"/>
    </font>
    <font>
      <name val="Arial"/>
      <charset val="1"/>
      <b val="1"/>
      <color rgb="FFC00000"/>
      <sz val="24"/>
    </font>
    <font>
      <name val="Arial"/>
      <charset val="1"/>
      <b val="1"/>
      <color rgb="FFED7D31"/>
      <sz val="24"/>
    </font>
    <font>
      <name val="Arial"/>
      <charset val="1"/>
      <b val="1"/>
      <color rgb="FFBF8F00"/>
      <sz val="24"/>
    </font>
    <font>
      <name val="Arial"/>
      <charset val="1"/>
      <b val="1"/>
      <color rgb="FF548235"/>
      <sz val="24"/>
    </font>
    <font>
      <name val="Arial"/>
      <charset val="1"/>
      <i val="1"/>
      <color rgb="FFC00000"/>
      <sz val="9"/>
    </font>
    <font>
      <name val="Arial"/>
      <b val="1"/>
      <color rgb="00FFFFFF"/>
      <sz val="15"/>
    </font>
    <font>
      <name val="Arial"/>
      <i val="1"/>
      <color rgb="00404040"/>
      <sz val="10"/>
    </font>
    <font>
      <name val="Arial"/>
      <i val="1"/>
      <color rgb="00595959"/>
      <sz val="9"/>
    </font>
    <font>
      <name val="Arial"/>
      <b val="1"/>
      <color rgb="00FFFFFF"/>
      <sz val="11"/>
    </font>
    <font>
      <name val="Arial"/>
      <b val="1"/>
      <sz val="10"/>
    </font>
    <font>
      <name val="Arial"/>
      <b val="1"/>
      <color rgb="000000FF"/>
      <sz val="10"/>
    </font>
    <font>
      <name val="Arial"/>
      <b val="1"/>
      <sz val="11"/>
    </font>
    <font>
      <name val="Arial"/>
      <b val="1"/>
      <color rgb="00C00000"/>
      <sz val="10"/>
    </font>
    <font>
      <name val="Arial"/>
      <sz val="10"/>
    </font>
  </fonts>
  <fills count="14">
    <fill>
      <patternFill/>
    </fill>
    <fill>
      <patternFill patternType="gray125"/>
    </fill>
    <fill>
      <patternFill patternType="solid">
        <fgColor rgb="FF1F4E78"/>
        <bgColor rgb="FF003366"/>
      </patternFill>
    </fill>
    <fill>
      <patternFill patternType="solid">
        <fgColor rgb="FFFFF2CC"/>
        <bgColor rgb="FFFFF2C6"/>
      </patternFill>
    </fill>
    <fill>
      <patternFill patternType="solid">
        <fgColor rgb="FFE2EFDA"/>
        <bgColor rgb="FFD9EAD3"/>
      </patternFill>
    </fill>
    <fill>
      <patternFill patternType="solid">
        <fgColor rgb="FFF2F2F2"/>
        <bgColor rgb="FFE2EFDA"/>
      </patternFill>
    </fill>
    <fill>
      <patternFill patternType="solid">
        <fgColor rgb="FFFFFFFF"/>
        <bgColor rgb="FFF2F2F2"/>
      </patternFill>
    </fill>
    <fill>
      <patternFill patternType="solid">
        <fgColor rgb="FF2E75B6"/>
        <bgColor rgb="FF0066CC"/>
      </patternFill>
    </fill>
    <fill>
      <patternFill patternType="solid">
        <fgColor rgb="FFD9E1F2"/>
        <bgColor rgb="FFD9D9D9"/>
      </patternFill>
    </fill>
    <fill>
      <patternFill patternType="solid">
        <fgColor rgb="FF404040"/>
        <bgColor rgb="FF333300"/>
      </patternFill>
    </fill>
    <fill>
      <patternFill patternType="solid">
        <fgColor rgb="001F4E78"/>
      </patternFill>
    </fill>
    <fill>
      <patternFill patternType="solid">
        <fgColor rgb="00404040"/>
      </patternFill>
    </fill>
    <fill>
      <patternFill patternType="solid">
        <fgColor rgb="00FFF2CC"/>
      </patternFill>
    </fill>
    <fill>
      <patternFill patternType="solid">
        <fgColor rgb="00D9E1F2"/>
      </patternFill>
    </fill>
  </fills>
  <borders count="12">
    <border>
      <left/>
      <right/>
      <top/>
      <bottom/>
      <diagonal/>
    </border>
    <border>
      <left style="thin">
        <color rgb="FFD9D9D9"/>
      </left>
      <right/>
      <top style="thin">
        <color rgb="FFD9D9D9"/>
      </top>
      <bottom style="thin">
        <color rgb="FFD9D9D9"/>
      </bottom>
      <diagonal/>
    </border>
    <border>
      <left style="medium">
        <color rgb="FFBFBFBF"/>
      </left>
      <right style="medium">
        <color rgb="FFBFBFBF"/>
      </right>
      <top style="medium">
        <color rgb="FFBFBFBF"/>
      </top>
      <bottom style="medium">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top style="thin">
        <color rgb="FFD9D9D9"/>
      </top>
      <bottom style="thin">
        <color rgb="FFD9D9D9"/>
      </bottom>
      <diagonal/>
    </border>
    <border>
      <left/>
      <right/>
      <top style="medium">
        <color rgb="FFBFBFBF"/>
      </top>
      <bottom/>
      <diagonal/>
    </border>
    <border>
      <left/>
      <right style="medium">
        <color rgb="FFBFBFBF"/>
      </right>
      <top style="medium">
        <color rgb="FFBFBFBF"/>
      </top>
      <bottom/>
      <diagonal/>
    </border>
    <border>
      <left/>
      <right style="medium">
        <color rgb="FFBFBFBF"/>
      </right>
      <top style="medium">
        <color rgb="FFBFBFBF"/>
      </top>
      <bottom style="medium">
        <color rgb="FFBFBFBF"/>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8">
    <xf numFmtId="0" fontId="0" fillId="0" borderId="0" pivotButton="0" quotePrefix="0" xfId="0"/>
    <xf numFmtId="0" fontId="2" fillId="0" borderId="0" applyAlignment="1" pivotButton="0" quotePrefix="0" xfId="0">
      <alignment horizontal="left"/>
    </xf>
    <xf numFmtId="0" fontId="2" fillId="0" borderId="0" pivotButton="0" quotePrefix="0" xfId="0"/>
    <xf numFmtId="0" fontId="2" fillId="8" borderId="3" applyAlignment="1" pivotButton="0" quotePrefix="0" xfId="0">
      <alignment horizontal="center" wrapText="1"/>
    </xf>
    <xf numFmtId="0" fontId="4" fillId="0" borderId="3" applyAlignment="1" pivotButton="0" quotePrefix="0" xfId="0">
      <alignment horizontal="center"/>
    </xf>
    <xf numFmtId="0" fontId="3" fillId="3" borderId="3" applyAlignment="1" pivotButton="0" quotePrefix="0" xfId="0">
      <alignment horizontal="center"/>
    </xf>
    <xf numFmtId="0" fontId="4" fillId="4" borderId="3" applyAlignment="1" pivotButton="0" quotePrefix="0" xfId="0">
      <alignment horizontal="center"/>
    </xf>
    <xf numFmtId="0" fontId="4" fillId="0" borderId="3" applyAlignment="1" pivotButton="0" quotePrefix="0" xfId="0">
      <alignment horizontal="center"/>
    </xf>
    <xf numFmtId="0" fontId="5" fillId="4" borderId="3" applyAlignment="1" pivotButton="0" quotePrefix="0" xfId="0">
      <alignment horizontal="center"/>
    </xf>
    <xf numFmtId="0" fontId="4" fillId="0" borderId="3" pivotButton="0" quotePrefix="0" xfId="0"/>
    <xf numFmtId="0" fontId="11" fillId="0" borderId="0" pivotButton="0" quotePrefix="0" xfId="0"/>
    <xf numFmtId="0" fontId="2" fillId="0" borderId="3" pivotButton="0" quotePrefix="0" xfId="0"/>
    <xf numFmtId="20" fontId="3" fillId="3" borderId="3" applyAlignment="1" pivotButton="0" quotePrefix="0" xfId="0">
      <alignment horizontal="center"/>
    </xf>
    <xf numFmtId="20" fontId="4" fillId="0" borderId="3" applyAlignment="1" pivotButton="0" quotePrefix="0" xfId="0">
      <alignment horizontal="center"/>
    </xf>
    <xf numFmtId="0" fontId="11" fillId="0" borderId="0" pivotButton="0" quotePrefix="0" xfId="0"/>
    <xf numFmtId="0" fontId="4" fillId="0" borderId="1" applyAlignment="1" pivotButton="0" quotePrefix="0" xfId="0">
      <alignment horizontal="center"/>
    </xf>
    <xf numFmtId="0" fontId="2" fillId="5" borderId="1" applyAlignment="1" pivotButton="0" quotePrefix="0" xfId="0">
      <alignment horizontal="center"/>
    </xf>
    <xf numFmtId="0" fontId="2" fillId="8" borderId="3" applyAlignment="1" pivotButton="0" quotePrefix="0" xfId="0">
      <alignment horizontal="center" wrapText="1"/>
    </xf>
    <xf numFmtId="0" fontId="4" fillId="5" borderId="1" applyAlignment="1" pivotButton="0" quotePrefix="0" xfId="0">
      <alignment horizontal="center"/>
    </xf>
    <xf numFmtId="0" fontId="2" fillId="4" borderId="1" applyAlignment="1" pivotButton="0" quotePrefix="0" xfId="0">
      <alignment horizontal="center"/>
    </xf>
    <xf numFmtId="0" fontId="4" fillId="4" borderId="1" applyAlignment="1" pivotButton="0" quotePrefix="0" xfId="0">
      <alignment horizontal="center"/>
    </xf>
    <xf numFmtId="0" fontId="10" fillId="7" borderId="1" applyAlignment="1" pivotButton="0" quotePrefix="0" xfId="0">
      <alignment horizontal="center"/>
    </xf>
    <xf numFmtId="0" fontId="8" fillId="0" borderId="0" applyAlignment="1" pivotButton="0" quotePrefix="0" xfId="0">
      <alignment horizontal="center" vertical="center"/>
    </xf>
    <xf numFmtId="0" fontId="9" fillId="0" borderId="0" applyAlignment="1" pivotButton="0" quotePrefix="0" xfId="0">
      <alignment horizontal="center"/>
    </xf>
    <xf numFmtId="0" fontId="6" fillId="5" borderId="2" applyAlignment="1" pivotButton="0" quotePrefix="0" xfId="0">
      <alignment horizontal="center"/>
    </xf>
    <xf numFmtId="0" fontId="7" fillId="6" borderId="2" applyAlignment="1" pivotButton="0" quotePrefix="0" xfId="0">
      <alignment horizontal="center"/>
    </xf>
    <xf numFmtId="0" fontId="3" fillId="3" borderId="1" applyAlignment="1" pivotButton="0" quotePrefix="0" xfId="0">
      <alignment horizontal="center"/>
    </xf>
    <xf numFmtId="0" fontId="5" fillId="4" borderId="1" applyAlignment="1" pivotButton="0" quotePrefix="0" xfId="0">
      <alignment horizontal="center"/>
    </xf>
    <xf numFmtId="0" fontId="1" fillId="2" borderId="0" applyAlignment="1" pivotButton="0" quotePrefix="0" xfId="0">
      <alignment horizontal="center" vertical="center"/>
    </xf>
    <xf numFmtId="164" fontId="3" fillId="3" borderId="1" applyAlignment="1" pivotButton="0" quotePrefix="0" xfId="0">
      <alignment horizontal="center"/>
    </xf>
    <xf numFmtId="0" fontId="12" fillId="9" borderId="0" applyAlignment="1" pivotButton="0" quotePrefix="0" xfId="0">
      <alignment horizontal="center"/>
    </xf>
    <xf numFmtId="0" fontId="19" fillId="0" borderId="0" pivotButton="0" quotePrefix="0" xfId="0"/>
    <xf numFmtId="0" fontId="15" fillId="6" borderId="2" applyAlignment="1" pivotButton="0" quotePrefix="0" xfId="0">
      <alignment horizontal="center"/>
    </xf>
    <xf numFmtId="0" fontId="16" fillId="6" borderId="2" applyAlignment="1" pivotButton="0" quotePrefix="0" xfId="0">
      <alignment horizontal="center"/>
    </xf>
    <xf numFmtId="0" fontId="17" fillId="6" borderId="2" applyAlignment="1" pivotButton="0" quotePrefix="0" xfId="0">
      <alignment horizontal="center"/>
    </xf>
    <xf numFmtId="0" fontId="18" fillId="6" borderId="2" applyAlignment="1" pivotButton="0" quotePrefix="0" xfId="0">
      <alignment horizontal="center"/>
    </xf>
    <xf numFmtId="0" fontId="13" fillId="2" borderId="0" applyAlignment="1" pivotButton="0" quotePrefix="0" xfId="0">
      <alignment horizontal="center" vertical="center"/>
    </xf>
    <xf numFmtId="0" fontId="14" fillId="5" borderId="2" applyAlignment="1" pivotButton="0" quotePrefix="0" xfId="0">
      <alignment horizontal="center" wrapText="1"/>
    </xf>
    <xf numFmtId="0" fontId="0" fillId="0" borderId="5" pivotButton="0" quotePrefix="0" xfId="0"/>
    <xf numFmtId="0" fontId="0" fillId="0" borderId="8" pivotButton="0" quotePrefix="0" xfId="0"/>
    <xf numFmtId="0" fontId="0" fillId="0" borderId="10" pivotButton="0" quotePrefix="0" xfId="0"/>
    <xf numFmtId="0" fontId="20" fillId="10" borderId="0" applyAlignment="1" pivotButton="0" quotePrefix="0" xfId="0">
      <alignment horizontal="center" vertical="center"/>
    </xf>
    <xf numFmtId="0" fontId="21" fillId="0" borderId="0" applyAlignment="1" pivotButton="0" quotePrefix="0" xfId="0">
      <alignment horizontal="left" vertical="center" wrapText="1"/>
    </xf>
    <xf numFmtId="0" fontId="22" fillId="0" borderId="0" applyAlignment="1" pivotButton="0" quotePrefix="0" xfId="0">
      <alignment horizontal="left" vertical="center" wrapText="1"/>
    </xf>
    <xf numFmtId="0" fontId="23" fillId="11" borderId="0" applyAlignment="1" pivotButton="0" quotePrefix="0" xfId="0">
      <alignment horizontal="center" vertical="center"/>
    </xf>
    <xf numFmtId="0" fontId="24" fillId="0" borderId="0" pivotButton="0" quotePrefix="0" xfId="0"/>
    <xf numFmtId="1" fontId="25" fillId="12" borderId="11" applyAlignment="1" pivotButton="0" quotePrefix="0" xfId="0">
      <alignment horizontal="center" vertical="center"/>
    </xf>
    <xf numFmtId="20" fontId="25" fillId="12" borderId="11" applyAlignment="1" pivotButton="0" quotePrefix="0" xfId="0">
      <alignment horizontal="center" vertical="center"/>
    </xf>
    <xf numFmtId="0" fontId="24" fillId="0" borderId="11" applyAlignment="1" pivotButton="0" quotePrefix="0" xfId="0">
      <alignment horizontal="center" vertical="center"/>
    </xf>
    <xf numFmtId="0" fontId="26" fillId="0" borderId="11" applyAlignment="1" pivotButton="0" quotePrefix="0" xfId="0">
      <alignment horizontal="center" vertical="center"/>
    </xf>
    <xf numFmtId="20" fontId="26" fillId="0" borderId="11" applyAlignment="1" pivotButton="0" quotePrefix="0" xfId="0">
      <alignment horizontal="center" vertical="center"/>
    </xf>
    <xf numFmtId="0" fontId="27" fillId="0" borderId="0" applyAlignment="1" pivotButton="0" quotePrefix="0" xfId="0">
      <alignment horizontal="left" vertical="center" wrapText="1"/>
    </xf>
    <xf numFmtId="0" fontId="24" fillId="13" borderId="11" applyAlignment="1" pivotButton="0" quotePrefix="0" xfId="0">
      <alignment horizontal="center" vertical="center"/>
    </xf>
    <xf numFmtId="0" fontId="28" fillId="0" borderId="11" applyAlignment="1" pivotButton="0" quotePrefix="0" xfId="0">
      <alignment horizontal="center" vertical="center"/>
    </xf>
    <xf numFmtId="0" fontId="25" fillId="12" borderId="11" applyAlignment="1" pivotButton="0" quotePrefix="0" xfId="0">
      <alignment horizontal="center" vertical="center"/>
    </xf>
    <xf numFmtId="20" fontId="28" fillId="0" borderId="11" applyAlignment="1" pivotButton="0" quotePrefix="0" xfId="0">
      <alignment horizontal="center" vertical="center"/>
    </xf>
    <xf numFmtId="165" fontId="28" fillId="0" borderId="11" applyAlignment="1" pivotButton="0" quotePrefix="0" xfId="0">
      <alignment horizontal="center" vertical="center"/>
    </xf>
    <xf numFmtId="1" fontId="28" fillId="0" borderId="11" applyAlignment="1" pivotButton="0" quotePrefix="0" xfId="0">
      <alignment horizontal="center" vertical="center"/>
    </xf>
  </cellXfs>
  <cellStyles count="1">
    <cellStyle name="Normal" xfId="0" builtinId="0"/>
  </cellStyles>
  <dxfs count="6">
    <dxf>
      <fill>
        <patternFill>
          <bgColor rgb="FFD9EAD3"/>
        </patternFill>
      </fill>
    </dxf>
    <dxf>
      <fill>
        <patternFill>
          <bgColor rgb="FFFFF2C6"/>
        </patternFill>
      </fill>
    </dxf>
    <dxf>
      <fill>
        <patternFill>
          <bgColor rgb="FFFBE0CE"/>
        </patternFill>
      </fill>
    </dxf>
    <dxf>
      <fill>
        <patternFill>
          <bgColor rgb="FFF8CBCB"/>
        </patternFill>
      </fill>
    </dxf>
    <dxf>
      <fill>
        <patternFill>
          <bgColor rgb="FFC00000"/>
        </patternFill>
      </fill>
    </dxf>
    <dxf>
      <fill>
        <patternFill>
          <bgColor rgb="FF70AD47"/>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AD3"/>
      <rgbColor rgb="FFFFF2C6"/>
      <rgbColor rgb="FFD9E1F2"/>
      <rgbColor rgb="FFFBE0CE"/>
      <rgbColor rgb="FFCC99FF"/>
      <rgbColor rgb="FFF8CBCB"/>
      <rgbColor rgb="FF2E75B6"/>
      <rgbColor rgb="FF33CCCC"/>
      <rgbColor rgb="FF99CC00"/>
      <rgbColor rgb="FFFFCC00"/>
      <rgbColor rgb="FFBF8F00"/>
      <rgbColor rgb="FFED7D31"/>
      <rgbColor rgb="FF595959"/>
      <rgbColor rgb="FF70AD47"/>
      <rgbColor rgb="FF003366"/>
      <rgbColor rgb="FF339966"/>
      <rgbColor rgb="FF003300"/>
      <rgbColor rgb="FF333300"/>
      <rgbColor rgb="FFC65911"/>
      <rgbColor rgb="FF993366"/>
      <rgbColor rgb="FF1F4E78"/>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36"/>
  <sheetViews>
    <sheetView showGridLines="0" zoomScaleNormal="100" workbookViewId="0">
      <pane xSplit="1" ySplit="4" topLeftCell="B5" activePane="bottomRight" state="frozen"/>
      <selection pane="bottomLeft" activeCell="A5" sqref="A5"/>
      <selection pane="topRight" activeCell="B1" sqref="B1"/>
      <selection pane="bottomRight" activeCell="H6" sqref="H6:I6"/>
    </sheetView>
  </sheetViews>
  <sheetFormatPr baseColWidth="8" defaultColWidth="8.7421875" defaultRowHeight="15"/>
  <cols>
    <col width="2.015625" customWidth="1" min="1" max="1"/>
    <col width="16.0078125" customWidth="1" min="2" max="11"/>
    <col width="2.015625" customWidth="1" min="12" max="12"/>
  </cols>
  <sheetData>
    <row r="2">
      <c r="B2" s="28" t="inlineStr">
        <is>
          <t>PHÂN BỔ NHÂN SỰ HOUSEKEEPING - QUEEN ANN HOTEL</t>
        </is>
      </c>
    </row>
    <row r="3"/>
    <row r="5">
      <c r="B5" s="1" t="inlineStr">
        <is>
          <t>Ngày</t>
        </is>
      </c>
      <c r="D5" s="1" t="inlineStr">
        <is>
          <t>SL phòng OUT</t>
        </is>
      </c>
      <c r="F5" s="1" t="inlineStr">
        <is>
          <t>SL phòng IN-HOUSE</t>
        </is>
      </c>
      <c r="H5" s="1" t="inlineStr">
        <is>
          <t>Phòng khả dụng (auto)</t>
        </is>
      </c>
    </row>
    <row r="6">
      <c r="B6" s="29">
        <f>TODAY()</f>
        <v/>
      </c>
      <c r="C6" s="38" t="n"/>
      <c r="D6" s="26" t="n">
        <v>39</v>
      </c>
      <c r="E6" s="38" t="n"/>
      <c r="F6" s="26" t="n">
        <v>11</v>
      </c>
      <c r="G6" s="38" t="n"/>
      <c r="H6" s="20">
        <f>MAX('DINH MUC'!C21-D6-F6+B9,0)</f>
        <v/>
      </c>
      <c r="I6" s="38" t="n"/>
    </row>
    <row r="8">
      <c r="B8" s="1" t="inlineStr">
        <is>
          <t>SL phòng Arrival (check-in hôm nay)</t>
        </is>
      </c>
      <c r="D8" s="1" t="inlineStr">
        <is>
          <t>- trong đó Back-to-Back (trùng phòng OUT)</t>
        </is>
      </c>
      <c r="F8" s="1" t="inlineStr">
        <is>
          <t>ARR vào phòng trống (auto)</t>
        </is>
      </c>
      <c r="H8" s="1" t="inlineStr">
        <is>
          <t>Kiểm tra hợp lệ</t>
        </is>
      </c>
    </row>
    <row r="9">
      <c r="B9" s="26" t="n">
        <v>17</v>
      </c>
      <c r="C9" s="38" t="n"/>
      <c r="D9" s="26" t="n">
        <v>17</v>
      </c>
      <c r="E9" s="38" t="n"/>
      <c r="F9" s="27">
        <f>MAX(B9-D9,0)</f>
        <v/>
      </c>
      <c r="G9" s="38" t="n"/>
      <c r="H9" s="15">
        <f>IF(D9&gt;MIN(B9,D6),"⚠ B2B &gt; OUT/ARR",IF(F9&gt;MAX('DINH MUC'!C21-D6-F6,0),"⚠ ARR &gt; phòng trống","OK"))</f>
        <v/>
      </c>
      <c r="I9" s="38" t="n"/>
    </row>
    <row r="11">
      <c r="B11" s="1" t="inlineStr">
        <is>
          <t>Phòng trống thực sự hôm nay (auto) - không OUT, không IN-HOUSE, không ARR</t>
        </is>
      </c>
    </row>
    <row r="12">
      <c r="B12" s="27">
        <f>MAX(MAX('DINH MUC'!C21-D6-F6,0)-F9,0)</f>
        <v/>
      </c>
      <c r="C12" s="38" t="n"/>
    </row>
    <row r="14">
      <c r="B14" s="24" t="inlineStr">
        <is>
          <t>TỔNG ĐIỂM CÔNG VIỆC</t>
        </is>
      </c>
      <c r="C14" s="39" t="n"/>
      <c r="D14" s="24" t="inlineStr">
        <is>
          <t>ĐIỂM MỖI NGƯỜI/CA</t>
        </is>
      </c>
      <c r="E14" s="39" t="n"/>
      <c r="F14" s="24" t="inlineStr">
        <is>
          <t>SỐ NV CẦN DỌN PHÒNG</t>
        </is>
      </c>
      <c r="G14" s="39" t="n"/>
      <c r="H14" s="24" t="inlineStr">
        <is>
          <t>NV HIỆN CÓ</t>
        </is>
      </c>
      <c r="I14" s="39" t="n"/>
    </row>
    <row r="15" ht="39.75" customHeight="1">
      <c r="B15" s="25">
        <f>D6*'DINH MUC'!C23+F6*'DINH MUC'!C24+F9*'DINH MUC'!C25</f>
        <v/>
      </c>
      <c r="C15" s="39" t="n"/>
      <c r="D15" s="25">
        <f>'DINH MUC'!C27</f>
        <v/>
      </c>
      <c r="E15" s="39" t="n"/>
      <c r="F15" s="25">
        <f>ROUNDUP(B15/D15,0)</f>
        <v/>
      </c>
      <c r="G15" s="39" t="n"/>
      <c r="H15" s="25">
        <f>'DINH MUC'!C18</f>
        <v/>
      </c>
      <c r="I15" s="39" t="n"/>
    </row>
    <row r="17" ht="21.75" customHeight="1">
      <c r="B17" s="22">
        <f>IF(H15&gt;=F15,"✓ ĐỦ NGƯỜI - dư "&amp;(H15-F15)&amp;" người","⚠ THIẾU "&amp;(F15-H15)&amp;" người - cần Sup làm phòng hoặc tăng ca")</f>
        <v/>
      </c>
    </row>
    <row r="18">
      <c r="B18" s="23">
        <f>IF(D9&gt;0,"🔔 Có "&amp;D9&amp;" phòng OUT là Back-to-Back - ưu tiên làm xong TRƯỚC giờ nhận phòng chuẩn ("&amp;'DINH MUC'!C12&amp;")","")</f>
        <v/>
      </c>
    </row>
    <row r="20">
      <c r="B20" s="2" t="inlineStr">
        <is>
          <t>QUY ĐỔI ĐIỂM</t>
        </is>
      </c>
    </row>
    <row r="21">
      <c r="B21" s="18" t="inlineStr">
        <is>
          <t>🛏 1 phòng IN-HOUSE</t>
        </is>
      </c>
      <c r="C21" s="38" t="n"/>
      <c r="D21" s="19" t="inlineStr">
        <is>
          <t>1 điểm</t>
        </is>
      </c>
      <c r="E21" s="38" t="n"/>
      <c r="F21" s="18" t="inlineStr">
        <is>
          <t>🧹 1 phòng OUT</t>
        </is>
      </c>
      <c r="G21" s="38" t="n"/>
      <c r="H21" s="19">
        <f>'DINH MUC'!C23&amp;" điểm"</f>
        <v/>
      </c>
      <c r="I21" s="38" t="n"/>
    </row>
    <row r="22">
      <c r="B22" s="18" t="inlineStr">
        <is>
          <t>🔑 1 phòng ARR vào phòng trống</t>
        </is>
      </c>
      <c r="C22" s="38" t="n"/>
      <c r="D22" s="19">
        <f>ROUND('DINH MUC'!C25,2)&amp;" điểm"</f>
        <v/>
      </c>
      <c r="E22" s="38" t="n"/>
      <c r="F22" s="18" t="inlineStr">
        <is>
          <t>🔁 ARR Back-to-Back</t>
        </is>
      </c>
      <c r="G22" s="38" t="n"/>
      <c r="H22" s="20" t="inlineStr">
        <is>
          <t>0 điểm (đã tính trong OUT)</t>
        </is>
      </c>
      <c r="I22" s="38" t="n"/>
    </row>
    <row r="24">
      <c r="B24" s="21" t="inlineStr">
        <is>
          <t>PHÂN CA - NHẬP SỐ NGƯỜI XẾP CHO TỪNG CA</t>
        </is>
      </c>
      <c r="C24" s="38" t="n"/>
      <c r="D24" s="38" t="n"/>
      <c r="E24" s="38" t="n"/>
      <c r="F24" s="38" t="n"/>
      <c r="G24" s="38" t="n"/>
      <c r="H24" s="38" t="n"/>
      <c r="I24" s="38" t="n"/>
    </row>
    <row r="25" ht="15" customHeight="1">
      <c r="B25" s="17" t="inlineStr">
        <is>
          <t>Ca</t>
        </is>
      </c>
      <c r="C25" s="40" t="n"/>
      <c r="D25" s="17" t="inlineStr">
        <is>
          <t>Bắt đầu</t>
        </is>
      </c>
      <c r="E25" s="17" t="inlineStr">
        <is>
          <t>Kết thúc</t>
        </is>
      </c>
      <c r="F25" s="17" t="inlineStr">
        <is>
          <t>Số NV xếp</t>
        </is>
      </c>
      <c r="G25" s="17" t="inlineStr">
        <is>
          <t>Điểm khả dụng</t>
        </is>
      </c>
      <c r="H25" s="17" t="inlineStr">
        <is>
          <t>Mức tải</t>
        </is>
      </c>
    </row>
    <row r="26">
      <c r="B26" s="15" t="inlineStr">
        <is>
          <t>Ca Sup</t>
        </is>
      </c>
      <c r="C26" s="38" t="n"/>
      <c r="D26" s="7" t="inlineStr">
        <is>
          <t>7:00</t>
        </is>
      </c>
      <c r="E26" s="7" t="inlineStr">
        <is>
          <t>15:00</t>
        </is>
      </c>
      <c r="F26" s="5" t="n">
        <v>1</v>
      </c>
      <c r="G26" s="6">
        <f>F26*D15</f>
        <v/>
      </c>
      <c r="H26" s="7">
        <f>G26</f>
        <v/>
      </c>
    </row>
    <row r="27">
      <c r="B27" s="15" t="inlineStr">
        <is>
          <t>Ca 1</t>
        </is>
      </c>
      <c r="C27" s="38" t="n"/>
      <c r="D27" s="7" t="inlineStr">
        <is>
          <t>6:30</t>
        </is>
      </c>
      <c r="E27" s="7" t="inlineStr">
        <is>
          <t>14:30</t>
        </is>
      </c>
      <c r="F27" s="5" t="n">
        <v>1</v>
      </c>
      <c r="G27" s="6">
        <f>F27*D15</f>
        <v/>
      </c>
      <c r="H27" s="7">
        <f>G27</f>
        <v/>
      </c>
    </row>
    <row r="28">
      <c r="B28" s="15" t="inlineStr">
        <is>
          <t>Ca 2</t>
        </is>
      </c>
      <c r="C28" s="38" t="n"/>
      <c r="D28" s="7" t="inlineStr">
        <is>
          <t>8:00</t>
        </is>
      </c>
      <c r="E28" s="7" t="inlineStr">
        <is>
          <t>16:00</t>
        </is>
      </c>
      <c r="F28" s="5" t="n">
        <v>1</v>
      </c>
      <c r="G28" s="6">
        <f>F28*D15</f>
        <v/>
      </c>
      <c r="H28" s="7">
        <f>G28</f>
        <v/>
      </c>
    </row>
    <row r="29">
      <c r="B29" s="15" t="inlineStr">
        <is>
          <t>Ca 3</t>
        </is>
      </c>
      <c r="C29" s="38" t="n"/>
      <c r="D29" s="7" t="inlineStr">
        <is>
          <t>8:00</t>
        </is>
      </c>
      <c r="E29" s="7" t="inlineStr">
        <is>
          <t>16:00</t>
        </is>
      </c>
      <c r="F29" s="5" t="n">
        <v>0</v>
      </c>
      <c r="G29" s="6">
        <f>F29*D15</f>
        <v/>
      </c>
      <c r="H29" s="7">
        <f>G29</f>
        <v/>
      </c>
    </row>
    <row r="30">
      <c r="B30" s="15" t="inlineStr">
        <is>
          <t>Ca 4</t>
        </is>
      </c>
      <c r="C30" s="38" t="n"/>
      <c r="D30" s="7" t="inlineStr">
        <is>
          <t>9:00</t>
        </is>
      </c>
      <c r="E30" s="7" t="inlineStr">
        <is>
          <t>17:00</t>
        </is>
      </c>
      <c r="F30" s="5" t="n">
        <v>1</v>
      </c>
      <c r="G30" s="6">
        <f>F30*D15</f>
        <v/>
      </c>
      <c r="H30" s="7">
        <f>G30</f>
        <v/>
      </c>
    </row>
    <row r="31">
      <c r="B31" s="15" t="inlineStr">
        <is>
          <t>Ca 5</t>
        </is>
      </c>
      <c r="C31" s="38" t="n"/>
      <c r="D31" s="7" t="inlineStr">
        <is>
          <t>10:00</t>
        </is>
      </c>
      <c r="E31" s="7" t="inlineStr">
        <is>
          <t>18:00</t>
        </is>
      </c>
      <c r="F31" s="5" t="n">
        <v>0</v>
      </c>
      <c r="G31" s="6">
        <f>F31*D15</f>
        <v/>
      </c>
      <c r="H31" s="7">
        <f>G31</f>
        <v/>
      </c>
    </row>
    <row r="32">
      <c r="B32" s="16" t="inlineStr">
        <is>
          <t>TỔNG</t>
        </is>
      </c>
      <c r="C32" s="38" t="n"/>
      <c r="D32" s="38" t="n"/>
      <c r="E32" s="38" t="n"/>
      <c r="F32" s="8">
        <f>SUM(F26:F31)</f>
        <v/>
      </c>
      <c r="G32" s="8">
        <f>SUM(G26:G31)</f>
        <v/>
      </c>
    </row>
    <row r="34">
      <c r="B34" s="14" t="inlineStr">
        <is>
          <t>Ghi chú: đổi định mức thời gian ở tab 'DINH MUC'. Đổi số NV xếp ca ở cột 'Số NV xếp' phía trên để cân bằng với 'SỐ NV CẦN DỌN PHÒNG'.</t>
        </is>
      </c>
    </row>
    <row r="35">
      <c r="B35" s="14" t="inlineStr">
        <is>
          <t>Khi OUT đông và Tổng NV hiện có &lt; Số NV cần: Sup nên xuống làm phòng cùng NV (cộng thêm 1 người vào cột 'Số NV xếp' ở ca tương ứng).</t>
        </is>
      </c>
    </row>
    <row r="36">
      <c r="B36" s="14" t="inlineStr">
        <is>
          <t>Arrival Back-to-Back (khách mới nhận đúng phòng vừa checkout) không cộng thêm điểm - đã tính trong OUT - nhưng cần xếp làm SỚM trong ca để kịp giờ nhận phòng.</t>
        </is>
      </c>
    </row>
  </sheetData>
  <mergeCells count="40">
    <mergeCell ref="B25:C25"/>
    <mergeCell ref="B22:C22"/>
    <mergeCell ref="F6:G6"/>
    <mergeCell ref="D22:E22"/>
    <mergeCell ref="B31:C31"/>
    <mergeCell ref="B27:C27"/>
    <mergeCell ref="B2:K3"/>
    <mergeCell ref="H9:I9"/>
    <mergeCell ref="B36:K36"/>
    <mergeCell ref="D21:E21"/>
    <mergeCell ref="B18:I18"/>
    <mergeCell ref="D6:E6"/>
    <mergeCell ref="F21:G21"/>
    <mergeCell ref="B21:C21"/>
    <mergeCell ref="H21:I21"/>
    <mergeCell ref="B32:E32"/>
    <mergeCell ref="H6:I6"/>
    <mergeCell ref="B12:C12"/>
    <mergeCell ref="F15:G15"/>
    <mergeCell ref="B35:K35"/>
    <mergeCell ref="B14:C14"/>
    <mergeCell ref="B17:I17"/>
    <mergeCell ref="B29:C29"/>
    <mergeCell ref="B28:C28"/>
    <mergeCell ref="F22:G22"/>
    <mergeCell ref="H22:I22"/>
    <mergeCell ref="B9:C9"/>
    <mergeCell ref="D9:E9"/>
    <mergeCell ref="H14:I14"/>
    <mergeCell ref="F9:G9"/>
    <mergeCell ref="B6:C6"/>
    <mergeCell ref="B30:C30"/>
    <mergeCell ref="B15:C15"/>
    <mergeCell ref="D15:E15"/>
    <mergeCell ref="B24:I24"/>
    <mergeCell ref="H15:I15"/>
    <mergeCell ref="D14:E14"/>
    <mergeCell ref="F14:G14"/>
    <mergeCell ref="B26:C26"/>
    <mergeCell ref="B34:K34"/>
  </mergeCells>
  <conditionalFormatting sqref="B17">
    <cfRule type="expression" priority="3" dxfId="5">
      <formula>H15&gt;=F15</formula>
    </cfRule>
    <cfRule type="expression" priority="4" dxfId="4">
      <formula>H15&lt;F15</formula>
    </cfRule>
  </conditionalFormatting>
  <conditionalFormatting sqref="H26:H31">
    <cfRule type="dataBar" priority="2">
      <dataBar>
        <cfvo type="num" val="0"/>
        <cfvo type="max"/>
        <color rgb="FF2E75B6"/>
      </dataBar>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E32"/>
  <sheetViews>
    <sheetView showGridLines="0" zoomScaleNormal="100" workbookViewId="0">
      <selection activeCell="A1" sqref="A1"/>
    </sheetView>
  </sheetViews>
  <sheetFormatPr baseColWidth="8" defaultColWidth="8.7421875" defaultRowHeight="15"/>
  <cols>
    <col width="2.95703125" customWidth="1" min="1" max="1"/>
    <col width="43.98828125" customWidth="1" min="2" max="2"/>
    <col width="13.98828125" customWidth="1" min="3" max="4"/>
    <col width="39.953125" customWidth="1" min="5" max="5"/>
  </cols>
  <sheetData>
    <row r="1" ht="21.75" customHeight="1">
      <c r="B1" s="30" t="inlineStr">
        <is>
          <t>ĐỊNH MỨC &amp; GIẢ ĐỊNH (chỉnh 1 lần ở đây)</t>
        </is>
      </c>
    </row>
    <row r="3">
      <c r="B3" s="9" t="inlineStr">
        <is>
          <t>Thời gian dọn 1 phòng OUT - cả cặp 2 người (phút)</t>
        </is>
      </c>
      <c r="C3" s="5" t="n">
        <v>22.5</v>
      </c>
      <c r="E3" s="14" t="inlineStr">
        <is>
          <t>TB của 20-25 phút/phòng</t>
        </is>
      </c>
    </row>
    <row r="4">
      <c r="B4" s="9" t="inlineStr">
        <is>
          <t>Số người / cặp dọn OUT</t>
        </is>
      </c>
      <c r="C4" s="5" t="n">
        <v>2</v>
      </c>
    </row>
    <row r="5">
      <c r="B5" s="9" t="inlineStr">
        <is>
          <t>Thời gian dọn 1 phòng IN-HOUSE - 1 người (phút)</t>
        </is>
      </c>
      <c r="C5" s="5" t="n">
        <v>7.5</v>
      </c>
      <c r="E5" s="14" t="inlineStr">
        <is>
          <t>TB của 5-10 phút/phòng - ĐÂY LÀ 1 ĐƠN VỊ ĐIỂM CHUẨN</t>
        </is>
      </c>
    </row>
    <row r="6">
      <c r="B6" s="9" t="inlineStr">
        <is>
          <t>Độ dài 1 ca làm việc (giờ)</t>
        </is>
      </c>
      <c r="C6" s="5" t="n">
        <v>8</v>
      </c>
    </row>
    <row r="7">
      <c r="B7" s="9" t="inlineStr">
        <is>
          <t>Ăn trưa (phút/ca)</t>
        </is>
      </c>
      <c r="C7" s="5" t="n">
        <v>30</v>
      </c>
    </row>
    <row r="8">
      <c r="B8" s="9" t="inlineStr">
        <is>
          <t>Họp đầu ca + WC/uống nước (phút/ca)</t>
        </is>
      </c>
      <c r="C8" s="5" t="n">
        <v>15</v>
      </c>
    </row>
    <row r="9">
      <c r="B9" s="9" t="inlineStr">
        <is>
          <t>Xuống kho lấy đồ + chờ thang máy (phút/ca)</t>
        </is>
      </c>
      <c r="C9" s="5" t="n">
        <v>40</v>
      </c>
    </row>
    <row r="10">
      <c r="B10" s="9" t="inlineStr">
        <is>
          <t>Làm PA cuối ca - không có PA riêng (phút/ca)</t>
        </is>
      </c>
      <c r="C10" s="5" t="n">
        <v>30</v>
      </c>
    </row>
    <row r="11">
      <c r="B11" s="9" t="inlineStr">
        <is>
          <t>Kiểm tra phòng trống trước khi giao khách Arrival - VC check (phút, 1 người)</t>
        </is>
      </c>
      <c r="C11" s="5" t="n">
        <v>5</v>
      </c>
      <c r="E11" s="14" t="inlineStr">
        <is>
          <t>Chỉ áp dụng cho ARR vào phòng đã sạch sẵn (không phải Back-to-Back)</t>
        </is>
      </c>
    </row>
    <row r="12">
      <c r="B12" s="9" t="inlineStr">
        <is>
          <t>Giờ nhận phòng chuẩn (check-in time)</t>
        </is>
      </c>
      <c r="C12" s="5" t="inlineStr">
        <is>
          <t>14:00</t>
        </is>
      </c>
    </row>
    <row r="13">
      <c r="B13" s="9" t="inlineStr">
        <is>
          <t>Bộ đệm an toàn cho giờ Check-out/Check-in trễ hơn dự kiến (phút)</t>
        </is>
      </c>
      <c r="C13" s="5" t="n">
        <v>15</v>
      </c>
      <c r="E13" s="14" t="inlineStr">
        <is>
          <t>Đại diện cho xác suất khách check-out/in lệch giờ so với dự kiến</t>
        </is>
      </c>
    </row>
    <row r="14">
      <c r="B14" s="9" t="inlineStr">
        <is>
          <t>Ngưỡng 'GẤP' - còn dư dưới bao nhiêu phút thì cảnh báo Gấp</t>
        </is>
      </c>
      <c r="C14" s="5" t="n">
        <v>15</v>
      </c>
    </row>
    <row r="15">
      <c r="B15" s="9" t="inlineStr">
        <is>
          <t>Ngưỡng 'CẦN CHÚ Ý' - còn dư dưới bao nhiêu phút thì nhắc chú ý</t>
        </is>
      </c>
      <c r="C15" s="5" t="n">
        <v>45</v>
      </c>
    </row>
    <row r="16">
      <c r="B16" s="9" t="inlineStr">
        <is>
          <t>Tổng số phòng khách sạn</t>
        </is>
      </c>
      <c r="C16" s="5" t="n">
        <v>57</v>
      </c>
    </row>
    <row r="17">
      <c r="B17" s="9" t="inlineStr">
        <is>
          <t>Phòng khóa nội bộ</t>
        </is>
      </c>
      <c r="C17" s="5" t="n">
        <v>1</v>
      </c>
    </row>
    <row r="18">
      <c r="B18" s="9" t="inlineStr">
        <is>
          <t>Tổng nhân sự HK hiện có (gồm Sup)</t>
        </is>
      </c>
      <c r="C18" s="5" t="n">
        <v>4</v>
      </c>
    </row>
    <row r="20">
      <c r="B20" s="2" t="inlineStr">
        <is>
          <t>--- CÁC GIÁ TRỊ TỰ TÍNH (không sửa) ---</t>
        </is>
      </c>
    </row>
    <row r="21">
      <c r="B21" s="9" t="inlineStr">
        <is>
          <t>Phòng khả dụng</t>
        </is>
      </c>
      <c r="C21" s="8">
        <f>'DINH MUC'!C16-'DINH MUC'!C17</f>
        <v/>
      </c>
    </row>
    <row r="22">
      <c r="B22" s="9" t="inlineStr">
        <is>
          <t>1 ĐIỂM = thời gian dọn 1 phòng IN-HOUSE</t>
        </is>
      </c>
      <c r="C22" s="8">
        <f>'DINH MUC'!C5</f>
        <v/>
      </c>
    </row>
    <row r="23">
      <c r="B23" s="9" t="inlineStr">
        <is>
          <t>Điểm / phòng OUT (quy đổi)</t>
        </is>
      </c>
      <c r="C23" s="8">
        <f>('DINH MUC'!C3*'DINH MUC'!C4)/'DINH MUC'!C5</f>
        <v/>
      </c>
    </row>
    <row r="24">
      <c r="B24" s="9" t="inlineStr">
        <is>
          <t>Điểm / phòng IN-HOUSE (quy đổi)</t>
        </is>
      </c>
      <c r="C24" s="8">
        <f>'DINH MUC'!C5/'DINH MUC'!C5</f>
        <v/>
      </c>
    </row>
    <row r="25">
      <c r="B25" s="9" t="inlineStr">
        <is>
          <t>Điểm / phòng ARR vào phòng trống - VC check (quy đổi)</t>
        </is>
      </c>
      <c r="C25" s="8">
        <f>'DINH MUC'!C11/'DINH MUC'!C5</f>
        <v/>
      </c>
    </row>
    <row r="26">
      <c r="B26" s="9" t="inlineStr">
        <is>
          <t>Phút làm việc thực tế còn lại / người / ca</t>
        </is>
      </c>
      <c r="C26" s="8">
        <f>'DINH MUC'!C6*60-'DINH MUC'!C7-'DINH MUC'!C8-'DINH MUC'!C9-'DINH MUC'!C10</f>
        <v/>
      </c>
    </row>
    <row r="27">
      <c r="B27" s="11" t="inlineStr">
        <is>
          <t>ĐIỂM mỗi người làm được / ca</t>
        </is>
      </c>
      <c r="C27" s="8">
        <f>'DINH MUC'!C26/'DINH MUC'!C5</f>
        <v/>
      </c>
    </row>
    <row r="29">
      <c r="B29" s="14" t="inlineStr">
        <is>
          <t>Cách quy đổi: chọn 'dọn 1 phòng IN-HOUSE (1 người)' làm 1 ĐƠN VỊ ĐIỂM chuẩn.</t>
        </is>
      </c>
    </row>
    <row r="30">
      <c r="B30" s="14" t="inlineStr">
        <is>
          <t>Phòng OUT tốn nhiều công hơn (2 người x thời gian dài hơn) nên quy đổi ra nhiều điểm hơn.</t>
        </is>
      </c>
    </row>
    <row r="31">
      <c r="B31" s="14" t="inlineStr">
        <is>
          <t>Arrival (ARR) = số phòng sẽ check-in trong ngày, gồm 2 loại: (1) Back-to-Back - khách mới nhận đúng phòng vừa checkout hôm nay (đã tính điểm trong OUT rồi, không cộng thêm, chỉ cần ưu tiên làm sớm); (2) ARR vào phòng trống - phòng đã sạch sẵn, chỉ cần kiểm tra nhanh (VC check) trước khi giao khách, được cộng thêm điểm riêng.</t>
        </is>
      </c>
    </row>
    <row r="32">
      <c r="B32" s="14" t="inlineStr">
        <is>
          <t>Mọi tính toán ở tab 'BANG TINH' đều dựa trên các ô ĐÃ TÍNH này - đổi định mức phía trên, cả bảng sẽ tự cập nhật.</t>
        </is>
      </c>
    </row>
  </sheetData>
  <mergeCells count="5">
    <mergeCell ref="B31:E31"/>
    <mergeCell ref="B1:E1"/>
    <mergeCell ref="B30:E30"/>
    <mergeCell ref="B29:E29"/>
    <mergeCell ref="B32:E3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L58"/>
  <sheetViews>
    <sheetView showGridLines="0" tabSelected="1" zoomScaleNormal="100" workbookViewId="0">
      <pane xSplit="2" ySplit="9" topLeftCell="C10" activePane="bottomRight" state="frozen"/>
      <selection pane="bottomLeft" activeCell="A10" sqref="A10"/>
      <selection pane="topRight" activeCell="C1" sqref="C1"/>
      <selection pane="bottomRight" activeCell="H53" sqref="H53"/>
    </sheetView>
  </sheetViews>
  <sheetFormatPr baseColWidth="8" defaultColWidth="8.7421875" defaultRowHeight="15"/>
  <cols>
    <col width="2.015625" customWidth="1" min="1" max="1"/>
    <col width="6.05078125" customWidth="1" min="2" max="2"/>
    <col width="11.97265625" customWidth="1" min="3" max="3"/>
    <col width="13.98828125" customWidth="1" min="4" max="4"/>
    <col width="16.0078125" customWidth="1" min="5" max="5"/>
    <col width="20.04296875" customWidth="1" min="6" max="6"/>
    <col width="16.0078125" customWidth="1" min="7" max="8"/>
    <col width="13.98828125" customWidth="1" min="9" max="9"/>
    <col width="20.04296875" customWidth="1" min="10" max="10"/>
    <col width="18.0234375" customWidth="1" min="11" max="11"/>
    <col width="5.37890625" customWidth="1" min="12" max="12"/>
  </cols>
  <sheetData>
    <row r="2">
      <c r="B2" s="36" t="inlineStr">
        <is>
          <t>ƯU TIÊN LÀM PHÒNG THEO GIỜ CHECK-OUT / CHECK-IN</t>
        </is>
      </c>
    </row>
    <row r="3"/>
    <row r="4">
      <c r="B4" s="14" t="inlineStr">
        <is>
          <t>Đã merge dữ liệu Check-in/Check-out ngày 19 từ báo cáo (38 phòng, tầng 2-11). Điền thêm/sửa tay các dòng bên dưới nếu cần - bảng tự xếp thứ tự ưu tiên làm phòng.</t>
        </is>
      </c>
    </row>
    <row r="6" ht="22.35" customHeight="1">
      <c r="B6" s="37" t="inlineStr">
        <is>
          <t>🔴 RỦI RO - không kịp</t>
        </is>
      </c>
      <c r="C6" s="39" t="n"/>
      <c r="D6" s="37" t="inlineStr">
        <is>
          <t>🟠 GẤP - làm ngay</t>
        </is>
      </c>
      <c r="E6" s="39" t="n"/>
      <c r="F6" s="37" t="inlineStr">
        <is>
          <t>🟡 CẦN CHÚ Ý</t>
        </is>
      </c>
      <c r="G6" s="39" t="n"/>
      <c r="H6" s="37" t="inlineStr">
        <is>
          <t>🟢 AN TOÀN</t>
        </is>
      </c>
      <c r="I6" s="39" t="n"/>
    </row>
    <row r="7" ht="33.75" customHeight="1">
      <c r="B7" s="32">
        <f>COUNTIF($J$10:$J$54,"🔴 RỦI RO")</f>
        <v/>
      </c>
      <c r="C7" s="39" t="n"/>
      <c r="D7" s="33">
        <f>COUNTIF($J$10:$J$54,"🟠 GẤP")</f>
        <v/>
      </c>
      <c r="E7" s="39" t="n"/>
      <c r="F7" s="34">
        <f>COUNTIF($J$10:$J$54,"🟡 CẦN CHÚ Ý")</f>
        <v/>
      </c>
      <c r="G7" s="39" t="n"/>
      <c r="H7" s="35">
        <f>COUNTIF($J$10:$J$54,"🟢 AN TOÀN")</f>
        <v/>
      </c>
      <c r="I7" s="39" t="n"/>
    </row>
    <row r="9" ht="30" customHeight="1">
      <c r="B9" s="17" t="inlineStr">
        <is>
          <t>STT</t>
        </is>
      </c>
      <c r="C9" s="17" t="inlineStr">
        <is>
          <t>Số phòng</t>
        </is>
      </c>
      <c r="D9" s="17" t="inlineStr">
        <is>
          <t>Giờ Check-out</t>
        </is>
      </c>
      <c r="E9" s="17" t="inlineStr">
        <is>
          <t>Giờ Check-in (ARR)</t>
        </is>
      </c>
      <c r="F9" s="17" t="inlineStr">
        <is>
          <t>Loại phòng (auto)</t>
        </is>
      </c>
      <c r="G9" s="17" t="inlineStr">
        <is>
          <t>Thời gian trống (phút)</t>
        </is>
      </c>
      <c r="H9" s="17" t="inlineStr">
        <is>
          <t>Thời gian cần (phút)</t>
        </is>
      </c>
      <c r="I9" s="17" t="inlineStr">
        <is>
          <t>Dư/Thiếu (phút)</t>
        </is>
      </c>
      <c r="J9" s="17" t="inlineStr">
        <is>
          <t>Mức độ ưu tiên</t>
        </is>
      </c>
      <c r="K9" s="17" t="inlineStr">
        <is>
          <t>Giờ trễ nhất phải bắt đầu</t>
        </is>
      </c>
      <c r="L9" s="17" t="inlineStr">
        <is>
          <t>Thứ tự làm trước</t>
        </is>
      </c>
    </row>
    <row r="10">
      <c r="B10" s="7" t="n">
        <v>1</v>
      </c>
      <c r="C10" s="5" t="inlineStr">
        <is>
          <t>202</t>
        </is>
      </c>
      <c r="D10" s="12" t="inlineStr">
        <is>
          <t>12:00</t>
        </is>
      </c>
      <c r="E10" s="12" t="inlineStr">
        <is>
          <t>14:00</t>
        </is>
      </c>
      <c r="F10" s="7">
        <f>IF(AND(D10&lt;&gt;"",E10&lt;&gt;""),"🔁 Back-to-Back",IF(AND(D10&lt;&gt;"",E10=""),"🧹 OUT thường",IF(AND(D10="",E10&lt;&gt;""),"🔑 ARR vào phòng trống","-")))</f>
        <v/>
      </c>
      <c r="G10" s="7">
        <f>IF(F10="🔁 Back-to-Back",ROUND((E10-D10)*1440,0),"-")</f>
        <v/>
      </c>
      <c r="H10" s="7">
        <f>IF(F10="🔁 Back-to-Back",'DINH MUC'!C3+'DINH MUC'!C13,IF(F10="🔑 ARR vào phòng trống",'DINH MUC'!C11+'DINH MUC'!C13,"-"))</f>
        <v/>
      </c>
      <c r="I10" s="7">
        <f>IF(F10="🔁 Back-to-Back",ROUND(G10-H10,0),"-")</f>
        <v/>
      </c>
      <c r="J10" s="7">
        <f>IF(F10&lt;&gt;"🔁 Back-to-Back","-",IF(I10&lt;0,"🔴 RỦI RO",IF(I10&lt;'DINH MUC'!C14,"🟠 GẤP",IF(I10&lt;'DINH MUC'!C15,"🟡 CẦN CHÚ Ý","🟢 AN TOÀN"))))</f>
        <v/>
      </c>
      <c r="K10" s="13">
        <f>IF(F10="🔁 Back-to-Back",E10-H10/1440,"-")</f>
        <v/>
      </c>
      <c r="L10" s="7">
        <f>IF(F10="🔁 Back-to-Back",RANK(I10,$I$10:$I$54,1),"-")</f>
        <v/>
      </c>
    </row>
    <row r="11">
      <c r="B11" s="7" t="n">
        <v>2</v>
      </c>
      <c r="C11" s="5" t="inlineStr">
        <is>
          <t>204</t>
        </is>
      </c>
      <c r="D11" s="12" t="inlineStr">
        <is>
          <t>8:30</t>
        </is>
      </c>
      <c r="E11" s="12" t="n"/>
      <c r="F11" s="7">
        <f>IF(AND(D11&lt;&gt;"",E11&lt;&gt;""),"🔁 Back-to-Back",IF(AND(D11&lt;&gt;"",E11=""),"🧹 OUT thường",IF(AND(D11="",E11&lt;&gt;""),"🔑 ARR vào phòng trống","-")))</f>
        <v/>
      </c>
      <c r="G11" s="7">
        <f>IF(F11="🔁 Back-to-Back",ROUND((E11-D11)*1440,0),"-")</f>
        <v/>
      </c>
      <c r="H11" s="7">
        <f>IF(F11="🔁 Back-to-Back",'DINH MUC'!C3+'DINH MUC'!C13,IF(F11="🔑 ARR vào phòng trống",'DINH MUC'!C11+'DINH MUC'!C13,"-"))</f>
        <v/>
      </c>
      <c r="I11" s="7">
        <f>IF(F11="🔁 Back-to-Back",ROUND(G11-H11,0),"-")</f>
        <v/>
      </c>
      <c r="J11" s="7">
        <f>IF(F11&lt;&gt;"🔁 Back-to-Back","-",IF(I11&lt;0,"🔴 RỦI RO",IF(I11&lt;'DINH MUC'!C14,"🟠 GẤP",IF(I11&lt;'DINH MUC'!C15,"🟡 CẦN CHÚ Ý","🟢 AN TOÀN"))))</f>
        <v/>
      </c>
      <c r="K11" s="13">
        <f>IF(F11="🔁 Back-to-Back",E11-H11/1440,"-")</f>
        <v/>
      </c>
      <c r="L11" s="7">
        <f>IF(F11="🔁 Back-to-Back",RANK(I11,$I$10:$I$54,1),"-")</f>
        <v/>
      </c>
    </row>
    <row r="12">
      <c r="B12" s="7" t="n">
        <v>3</v>
      </c>
      <c r="C12" s="5" t="inlineStr">
        <is>
          <t>301</t>
        </is>
      </c>
      <c r="D12" s="12" t="inlineStr">
        <is>
          <t>12:00</t>
        </is>
      </c>
      <c r="E12" s="12" t="inlineStr">
        <is>
          <t>14:00</t>
        </is>
      </c>
      <c r="F12" s="7">
        <f>IF(AND(D12&lt;&gt;"",E12&lt;&gt;""),"🔁 Back-to-Back",IF(AND(D12&lt;&gt;"",E12=""),"🧹 OUT thường",IF(AND(D12="",E12&lt;&gt;""),"🔑 ARR vào phòng trống","-")))</f>
        <v/>
      </c>
      <c r="G12" s="7">
        <f>IF(F12="🔁 Back-to-Back",ROUND((E12-D12)*1440,0),"-")</f>
        <v/>
      </c>
      <c r="H12" s="7">
        <f>IF(F12="🔁 Back-to-Back",'DINH MUC'!C3+'DINH MUC'!C13,IF(F12="🔑 ARR vào phòng trống",'DINH MUC'!C11+'DINH MUC'!C13,"-"))</f>
        <v/>
      </c>
      <c r="I12" s="7">
        <f>IF(F12="🔁 Back-to-Back",ROUND(G12-H12,0),"-")</f>
        <v/>
      </c>
      <c r="J12" s="7">
        <f>IF(F12&lt;&gt;"🔁 Back-to-Back","-",IF(I12&lt;0,"🔴 RỦI RO",IF(I12&lt;'DINH MUC'!C14,"🟠 GẤP",IF(I12&lt;'DINH MUC'!C15,"🟡 CẦN CHÚ Ý","🟢 AN TOÀN"))))</f>
        <v/>
      </c>
      <c r="K12" s="13">
        <f>IF(F12="🔁 Back-to-Back",E12-H12/1440,"-")</f>
        <v/>
      </c>
      <c r="L12" s="7">
        <f>IF(F12="🔁 Back-to-Back",RANK(I12,$I$10:$I$54,1),"-")</f>
        <v/>
      </c>
    </row>
    <row r="13">
      <c r="B13" s="7" t="n">
        <v>4</v>
      </c>
      <c r="C13" s="5" t="inlineStr">
        <is>
          <t>302</t>
        </is>
      </c>
      <c r="D13" s="12" t="inlineStr">
        <is>
          <t>9:00</t>
        </is>
      </c>
      <c r="E13" s="12" t="inlineStr">
        <is>
          <t>15:00</t>
        </is>
      </c>
      <c r="F13" s="7">
        <f>IF(AND(D13&lt;&gt;"",E13&lt;&gt;""),"🔁 Back-to-Back",IF(AND(D13&lt;&gt;"",E13=""),"🧹 OUT thường",IF(AND(D13="",E13&lt;&gt;""),"🔑 ARR vào phòng trống","-")))</f>
        <v/>
      </c>
      <c r="G13" s="7">
        <f>IF(F13="🔁 Back-to-Back",ROUND((E13-D13)*1440,0),"-")</f>
        <v/>
      </c>
      <c r="H13" s="7">
        <f>IF(F13="🔁 Back-to-Back",'DINH MUC'!C3+'DINH MUC'!C13,IF(F13="🔑 ARR vào phòng trống",'DINH MUC'!C11+'DINH MUC'!C13,"-"))</f>
        <v/>
      </c>
      <c r="I13" s="7">
        <f>IF(F13="🔁 Back-to-Back",ROUND(G13-H13,0),"-")</f>
        <v/>
      </c>
      <c r="J13" s="7">
        <f>IF(F13&lt;&gt;"🔁 Back-to-Back","-",IF(I13&lt;0,"🔴 RỦI RO",IF(I13&lt;'DINH MUC'!C14,"🟠 GẤP",IF(I13&lt;'DINH MUC'!C15,"🟡 CẦN CHÚ Ý","🟢 AN TOÀN"))))</f>
        <v/>
      </c>
      <c r="K13" s="13">
        <f>IF(F13="🔁 Back-to-Back",E13-H13/1440,"-")</f>
        <v/>
      </c>
      <c r="L13" s="7">
        <f>IF(F13="🔁 Back-to-Back",RANK(I13,$I$10:$I$54,1),"-")</f>
        <v/>
      </c>
    </row>
    <row r="14">
      <c r="B14" s="7" t="n">
        <v>5</v>
      </c>
      <c r="C14" s="5" t="inlineStr">
        <is>
          <t>303</t>
        </is>
      </c>
      <c r="D14" s="12" t="inlineStr">
        <is>
          <t>9:00</t>
        </is>
      </c>
      <c r="E14" s="12" t="inlineStr">
        <is>
          <t>15:00</t>
        </is>
      </c>
      <c r="F14" s="7">
        <f>IF(AND(D14&lt;&gt;"",E14&lt;&gt;""),"🔁 Back-to-Back",IF(AND(D14&lt;&gt;"",E14=""),"🧹 OUT thường",IF(AND(D14="",E14&lt;&gt;""),"🔑 ARR vào phòng trống","-")))</f>
        <v/>
      </c>
      <c r="G14" s="7">
        <f>IF(F14="🔁 Back-to-Back",ROUND((E14-D14)*1440,0),"-")</f>
        <v/>
      </c>
      <c r="H14" s="7">
        <f>IF(F14="🔁 Back-to-Back",'DINH MUC'!C3+'DINH MUC'!C13,IF(F14="🔑 ARR vào phòng trống",'DINH MUC'!C11+'DINH MUC'!C13,"-"))</f>
        <v/>
      </c>
      <c r="I14" s="7">
        <f>IF(F14="🔁 Back-to-Back",ROUND(G14-H14,0),"-")</f>
        <v/>
      </c>
      <c r="J14" s="7">
        <f>IF(F14&lt;&gt;"🔁 Back-to-Back","-",IF(I14&lt;0,"🔴 RỦI RO",IF(I14&lt;'DINH MUC'!C14,"🟠 GẤP",IF(I14&lt;'DINH MUC'!C15,"🟡 CẦN CHÚ Ý","🟢 AN TOÀN"))))</f>
        <v/>
      </c>
      <c r="K14" s="13">
        <f>IF(F14="🔁 Back-to-Back",E14-H14/1440,"-")</f>
        <v/>
      </c>
      <c r="L14" s="7">
        <f>IF(F14="🔁 Back-to-Back",RANK(I14,$I$10:$I$54,1),"-")</f>
        <v/>
      </c>
    </row>
    <row r="15">
      <c r="B15" s="7" t="n">
        <v>6</v>
      </c>
      <c r="C15" s="5" t="inlineStr">
        <is>
          <t>304</t>
        </is>
      </c>
      <c r="D15" s="12" t="inlineStr">
        <is>
          <t>12:00</t>
        </is>
      </c>
      <c r="E15" s="12" t="n"/>
      <c r="F15" s="7">
        <f>IF(AND(D15&lt;&gt;"",E15&lt;&gt;""),"🔁 Back-to-Back",IF(AND(D15&lt;&gt;"",E15=""),"🧹 OUT thường",IF(AND(D15="",E15&lt;&gt;""),"🔑 ARR vào phòng trống","-")))</f>
        <v/>
      </c>
      <c r="G15" s="7">
        <f>IF(F15="🔁 Back-to-Back",ROUND((E15-D15)*1440,0),"-")</f>
        <v/>
      </c>
      <c r="H15" s="7">
        <f>IF(F15="🔁 Back-to-Back",'DINH MUC'!C3+'DINH MUC'!C13,IF(F15="🔑 ARR vào phòng trống",'DINH MUC'!C11+'DINH MUC'!C13,"-"))</f>
        <v/>
      </c>
      <c r="I15" s="7">
        <f>IF(F15="🔁 Back-to-Back",ROUND(G15-H15,0),"-")</f>
        <v/>
      </c>
      <c r="J15" s="7">
        <f>IF(F15&lt;&gt;"🔁 Back-to-Back","-",IF(I15&lt;0,"🔴 RỦI RO",IF(I15&lt;'DINH MUC'!C14,"🟠 GẤP",IF(I15&lt;'DINH MUC'!C15,"🟡 CẦN CHÚ Ý","🟢 AN TOÀN"))))</f>
        <v/>
      </c>
      <c r="K15" s="13">
        <f>IF(F15="🔁 Back-to-Back",E15-H15/1440,"-")</f>
        <v/>
      </c>
      <c r="L15" s="7">
        <f>IF(F15="🔁 Back-to-Back",RANK(I15,$I$10:$I$54,1),"-")</f>
        <v/>
      </c>
    </row>
    <row r="16">
      <c r="B16" s="7" t="n">
        <v>7</v>
      </c>
      <c r="C16" s="5" t="inlineStr">
        <is>
          <t>306</t>
        </is>
      </c>
      <c r="D16" s="12" t="inlineStr">
        <is>
          <t>12:00</t>
        </is>
      </c>
      <c r="E16" s="12" t="n"/>
      <c r="F16" s="7">
        <f>IF(AND(D16&lt;&gt;"",E16&lt;&gt;""),"🔁 Back-to-Back",IF(AND(D16&lt;&gt;"",E16=""),"🧹 OUT thường",IF(AND(D16="",E16&lt;&gt;""),"🔑 ARR vào phòng trống","-")))</f>
        <v/>
      </c>
      <c r="G16" s="7">
        <f>IF(F16="🔁 Back-to-Back",ROUND((E16-D16)*1440,0),"-")</f>
        <v/>
      </c>
      <c r="H16" s="7">
        <f>IF(F16="🔁 Back-to-Back",'DINH MUC'!C3+'DINH MUC'!C13,IF(F16="🔑 ARR vào phòng trống",'DINH MUC'!C11+'DINH MUC'!C13,"-"))</f>
        <v/>
      </c>
      <c r="I16" s="7">
        <f>IF(F16="🔁 Back-to-Back",ROUND(G16-H16,0),"-")</f>
        <v/>
      </c>
      <c r="J16" s="7">
        <f>IF(F16&lt;&gt;"🔁 Back-to-Back","-",IF(I16&lt;0,"🔴 RỦI RO",IF(I16&lt;'DINH MUC'!C14,"🟠 GẤP",IF(I16&lt;'DINH MUC'!C15,"🟡 CẦN CHÚ Ý","🟢 AN TOÀN"))))</f>
        <v/>
      </c>
      <c r="K16" s="13">
        <f>IF(F16="🔁 Back-to-Back",E16-H16/1440,"-")</f>
        <v/>
      </c>
      <c r="L16" s="7">
        <f>IF(F16="🔁 Back-to-Back",RANK(I16,$I$10:$I$54,1),"-")</f>
        <v/>
      </c>
    </row>
    <row r="17">
      <c r="B17" s="7" t="n">
        <v>8</v>
      </c>
      <c r="C17" s="5" t="inlineStr">
        <is>
          <t>401</t>
        </is>
      </c>
      <c r="D17" s="12" t="inlineStr">
        <is>
          <t>10:00</t>
        </is>
      </c>
      <c r="E17" s="12" t="inlineStr">
        <is>
          <t>14:00</t>
        </is>
      </c>
      <c r="F17" s="7">
        <f>IF(AND(D17&lt;&gt;"",E17&lt;&gt;""),"🔁 Back-to-Back",IF(AND(D17&lt;&gt;"",E17=""),"🧹 OUT thường",IF(AND(D17="",E17&lt;&gt;""),"🔑 ARR vào phòng trống","-")))</f>
        <v/>
      </c>
      <c r="G17" s="7">
        <f>IF(F17="🔁 Back-to-Back",ROUND((E17-D17)*1440,0),"-")</f>
        <v/>
      </c>
      <c r="H17" s="7">
        <f>IF(F17="🔁 Back-to-Back",'DINH MUC'!C3+'DINH MUC'!C13,IF(F17="🔑 ARR vào phòng trống",'DINH MUC'!C11+'DINH MUC'!C13,"-"))</f>
        <v/>
      </c>
      <c r="I17" s="7">
        <f>IF(F17="🔁 Back-to-Back",ROUND(G17-H17,0),"-")</f>
        <v/>
      </c>
      <c r="J17" s="7">
        <f>IF(F17&lt;&gt;"🔁 Back-to-Back","-",IF(I17&lt;0,"🔴 RỦI RO",IF(I17&lt;'DINH MUC'!C14,"🟠 GẤP",IF(I17&lt;'DINH MUC'!C15,"🟡 CẦN CHÚ Ý","🟢 AN TOÀN"))))</f>
        <v/>
      </c>
      <c r="K17" s="13">
        <f>IF(F17="🔁 Back-to-Back",E17-H17/1440,"-")</f>
        <v/>
      </c>
      <c r="L17" s="7">
        <f>IF(F17="🔁 Back-to-Back",RANK(I17,$I$10:$I$54,1),"-")</f>
        <v/>
      </c>
    </row>
    <row r="18">
      <c r="B18" s="7" t="n">
        <v>9</v>
      </c>
      <c r="C18" s="5" t="inlineStr">
        <is>
          <t>402</t>
        </is>
      </c>
      <c r="D18" s="12" t="inlineStr">
        <is>
          <t>18:00</t>
        </is>
      </c>
      <c r="E18" s="12" t="n"/>
      <c r="F18" s="7">
        <f>IF(AND(D18&lt;&gt;"",E18&lt;&gt;""),"🔁 Back-to-Back",IF(AND(D18&lt;&gt;"",E18=""),"🧹 OUT thường",IF(AND(D18="",E18&lt;&gt;""),"🔑 ARR vào phòng trống","-")))</f>
        <v/>
      </c>
      <c r="G18" s="7">
        <f>IF(F18="🔁 Back-to-Back",ROUND((E18-D18)*1440,0),"-")</f>
        <v/>
      </c>
      <c r="H18" s="7">
        <f>IF(F18="🔁 Back-to-Back",'DINH MUC'!C3+'DINH MUC'!C13,IF(F18="🔑 ARR vào phòng trống",'DINH MUC'!C11+'DINH MUC'!C13,"-"))</f>
        <v/>
      </c>
      <c r="I18" s="7">
        <f>IF(F18="🔁 Back-to-Back",ROUND(G18-H18,0),"-")</f>
        <v/>
      </c>
      <c r="J18" s="7">
        <f>IF(F18&lt;&gt;"🔁 Back-to-Back","-",IF(I18&lt;0,"🔴 RỦI RO",IF(I18&lt;'DINH MUC'!C14,"🟠 GẤP",IF(I18&lt;'DINH MUC'!C15,"🟡 CẦN CHÚ Ý","🟢 AN TOÀN"))))</f>
        <v/>
      </c>
      <c r="K18" s="13">
        <f>IF(F18="🔁 Back-to-Back",E18-H18/1440,"-")</f>
        <v/>
      </c>
      <c r="L18" s="7">
        <f>IF(F18="🔁 Back-to-Back",RANK(I18,$I$10:$I$54,1),"-")</f>
        <v/>
      </c>
    </row>
    <row r="19">
      <c r="B19" s="7" t="n">
        <v>10</v>
      </c>
      <c r="C19" s="5" t="inlineStr">
        <is>
          <t>403</t>
        </is>
      </c>
      <c r="D19" s="12" t="inlineStr">
        <is>
          <t>9:00</t>
        </is>
      </c>
      <c r="E19" s="12" t="inlineStr">
        <is>
          <t>14:00</t>
        </is>
      </c>
      <c r="F19" s="7">
        <f>IF(AND(D19&lt;&gt;"",E19&lt;&gt;""),"🔁 Back-to-Back",IF(AND(D19&lt;&gt;"",E19=""),"🧹 OUT thường",IF(AND(D19="",E19&lt;&gt;""),"🔑 ARR vào phòng trống","-")))</f>
        <v/>
      </c>
      <c r="G19" s="7">
        <f>IF(F19="🔁 Back-to-Back",ROUND((E19-D19)*1440,0),"-")</f>
        <v/>
      </c>
      <c r="H19" s="7">
        <f>IF(F19="🔁 Back-to-Back",'DINH MUC'!C3+'DINH MUC'!C13,IF(F19="🔑 ARR vào phòng trống",'DINH MUC'!C11+'DINH MUC'!C13,"-"))</f>
        <v/>
      </c>
      <c r="I19" s="7">
        <f>IF(F19="🔁 Back-to-Back",ROUND(G19-H19,0),"-")</f>
        <v/>
      </c>
      <c r="J19" s="7">
        <f>IF(F19&lt;&gt;"🔁 Back-to-Back","-",IF(I19&lt;0,"🔴 RỦI RO",IF(I19&lt;'DINH MUC'!C14,"🟠 GẤP",IF(I19&lt;'DINH MUC'!C15,"🟡 CẦN CHÚ Ý","🟢 AN TOÀN"))))</f>
        <v/>
      </c>
      <c r="K19" s="13">
        <f>IF(F19="🔁 Back-to-Back",E19-H19/1440,"-")</f>
        <v/>
      </c>
      <c r="L19" s="7">
        <f>IF(F19="🔁 Back-to-Back",RANK(I19,$I$10:$I$54,1),"-")</f>
        <v/>
      </c>
    </row>
    <row r="20">
      <c r="B20" s="7" t="n">
        <v>11</v>
      </c>
      <c r="C20" s="5" t="inlineStr">
        <is>
          <t>405</t>
        </is>
      </c>
      <c r="D20" s="12" t="inlineStr">
        <is>
          <t>12:00</t>
        </is>
      </c>
      <c r="E20" s="12" t="n"/>
      <c r="F20" s="7">
        <f>IF(AND(D20&lt;&gt;"",E20&lt;&gt;""),"🔁 Back-to-Back",IF(AND(D20&lt;&gt;"",E20=""),"🧹 OUT thường",IF(AND(D20="",E20&lt;&gt;""),"🔑 ARR vào phòng trống","-")))</f>
        <v/>
      </c>
      <c r="G20" s="7">
        <f>IF(F20="🔁 Back-to-Back",ROUND((E20-D20)*1440,0),"-")</f>
        <v/>
      </c>
      <c r="H20" s="7">
        <f>IF(F20="🔁 Back-to-Back",'DINH MUC'!C3+'DINH MUC'!C13,IF(F20="🔑 ARR vào phòng trống",'DINH MUC'!C11+'DINH MUC'!C13,"-"))</f>
        <v/>
      </c>
      <c r="I20" s="7">
        <f>IF(F20="🔁 Back-to-Back",ROUND(G20-H20,0),"-")</f>
        <v/>
      </c>
      <c r="J20" s="7">
        <f>IF(F20&lt;&gt;"🔁 Back-to-Back","-",IF(I20&lt;0,"🔴 RỦI RO",IF(I20&lt;'DINH MUC'!C14,"🟠 GẤP",IF(I20&lt;'DINH MUC'!C15,"🟡 CẦN CHÚ Ý","🟢 AN TOÀN"))))</f>
        <v/>
      </c>
      <c r="K20" s="13">
        <f>IF(F20="🔁 Back-to-Back",E20-H20/1440,"-")</f>
        <v/>
      </c>
      <c r="L20" s="7">
        <f>IF(F20="🔁 Back-to-Back",RANK(I20,$I$10:$I$54,1),"-")</f>
        <v/>
      </c>
    </row>
    <row r="21">
      <c r="B21" s="7" t="n">
        <v>12</v>
      </c>
      <c r="C21" s="5" t="inlineStr">
        <is>
          <t>406</t>
        </is>
      </c>
      <c r="D21" s="12" t="inlineStr">
        <is>
          <t>18:00</t>
        </is>
      </c>
      <c r="E21" s="12" t="n"/>
      <c r="F21" s="7">
        <f>IF(AND(D21&lt;&gt;"",E21&lt;&gt;""),"🔁 Back-to-Back",IF(AND(D21&lt;&gt;"",E21=""),"🧹 OUT thường",IF(AND(D21="",E21&lt;&gt;""),"🔑 ARR vào phòng trống","-")))</f>
        <v/>
      </c>
      <c r="G21" s="7">
        <f>IF(F21="🔁 Back-to-Back",ROUND((E21-D21)*1440,0),"-")</f>
        <v/>
      </c>
      <c r="H21" s="7">
        <f>IF(F21="🔁 Back-to-Back",'DINH MUC'!C3+'DINH MUC'!C13,IF(F21="🔑 ARR vào phòng trống",'DINH MUC'!C11+'DINH MUC'!C13,"-"))</f>
        <v/>
      </c>
      <c r="I21" s="7">
        <f>IF(F21="🔁 Back-to-Back",ROUND(G21-H21,0),"-")</f>
        <v/>
      </c>
      <c r="J21" s="7">
        <f>IF(F21&lt;&gt;"🔁 Back-to-Back","-",IF(I21&lt;0,"🔴 RỦI RO",IF(I21&lt;'DINH MUC'!C14,"🟠 GẤP",IF(I21&lt;'DINH MUC'!C15,"🟡 CẦN CHÚ Ý","🟢 AN TOÀN"))))</f>
        <v/>
      </c>
      <c r="K21" s="13">
        <f>IF(F21="🔁 Back-to-Back",E21-H21/1440,"-")</f>
        <v/>
      </c>
      <c r="L21" s="7">
        <f>IF(F21="🔁 Back-to-Back",RANK(I21,$I$10:$I$54,1),"-")</f>
        <v/>
      </c>
    </row>
    <row r="22">
      <c r="B22" s="7" t="n">
        <v>13</v>
      </c>
      <c r="C22" s="5" t="inlineStr">
        <is>
          <t>501</t>
        </is>
      </c>
      <c r="D22" s="12" t="inlineStr">
        <is>
          <t>12:00</t>
        </is>
      </c>
      <c r="E22" s="12" t="inlineStr">
        <is>
          <t>14:00</t>
        </is>
      </c>
      <c r="F22" s="7">
        <f>IF(AND(D22&lt;&gt;"",E22&lt;&gt;""),"🔁 Back-to-Back",IF(AND(D22&lt;&gt;"",E22=""),"🧹 OUT thường",IF(AND(D22="",E22&lt;&gt;""),"🔑 ARR vào phòng trống","-")))</f>
        <v/>
      </c>
      <c r="G22" s="7">
        <f>IF(F22="🔁 Back-to-Back",ROUND((E22-D22)*1440,0),"-")</f>
        <v/>
      </c>
      <c r="H22" s="7">
        <f>IF(F22="🔁 Back-to-Back",'DINH MUC'!C3+'DINH MUC'!C13,IF(F22="🔑 ARR vào phòng trống",'DINH MUC'!C11+'DINH MUC'!C13,"-"))</f>
        <v/>
      </c>
      <c r="I22" s="7">
        <f>IF(F22="🔁 Back-to-Back",ROUND(G22-H22,0),"-")</f>
        <v/>
      </c>
      <c r="J22" s="7">
        <f>IF(F22&lt;&gt;"🔁 Back-to-Back","-",IF(I22&lt;0,"🔴 RỦI RO",IF(I22&lt;'DINH MUC'!C14,"🟠 GẤP",IF(I22&lt;'DINH MUC'!C15,"🟡 CẦN CHÚ Ý","🟢 AN TOÀN"))))</f>
        <v/>
      </c>
      <c r="K22" s="13">
        <f>IF(F22="🔁 Back-to-Back",E22-H22/1440,"-")</f>
        <v/>
      </c>
      <c r="L22" s="7">
        <f>IF(F22="🔁 Back-to-Back",RANK(I22,$I$10:$I$54,1),"-")</f>
        <v/>
      </c>
    </row>
    <row r="23">
      <c r="B23" s="7" t="n">
        <v>14</v>
      </c>
      <c r="C23" s="5" t="inlineStr">
        <is>
          <t>506</t>
        </is>
      </c>
      <c r="D23" s="12" t="inlineStr">
        <is>
          <t>9:00</t>
        </is>
      </c>
      <c r="E23" s="12" t="n"/>
      <c r="F23" s="7">
        <f>IF(AND(D23&lt;&gt;"",E23&lt;&gt;""),"🔁 Back-to-Back",IF(AND(D23&lt;&gt;"",E23=""),"🧹 OUT thường",IF(AND(D23="",E23&lt;&gt;""),"🔑 ARR vào phòng trống","-")))</f>
        <v/>
      </c>
      <c r="G23" s="7">
        <f>IF(F23="🔁 Back-to-Back",ROUND((E23-D23)*1440,0),"-")</f>
        <v/>
      </c>
      <c r="H23" s="7">
        <f>IF(F23="🔁 Back-to-Back",'DINH MUC'!C3+'DINH MUC'!C13,IF(F23="🔑 ARR vào phòng trống",'DINH MUC'!C11+'DINH MUC'!C13,"-"))</f>
        <v/>
      </c>
      <c r="I23" s="7">
        <f>IF(F23="🔁 Back-to-Back",ROUND(G23-H23,0),"-")</f>
        <v/>
      </c>
      <c r="J23" s="7">
        <f>IF(F23&lt;&gt;"🔁 Back-to-Back","-",IF(I23&lt;0,"🔴 RỦI RO",IF(I23&lt;'DINH MUC'!C14,"🟠 GẤP",IF(I23&lt;'DINH MUC'!C15,"🟡 CẦN CHÚ Ý","🟢 AN TOÀN"))))</f>
        <v/>
      </c>
      <c r="K23" s="13">
        <f>IF(F23="🔁 Back-to-Back",E23-H23/1440,"-")</f>
        <v/>
      </c>
      <c r="L23" s="7">
        <f>IF(F23="🔁 Back-to-Back",RANK(I23,$I$10:$I$54,1),"-")</f>
        <v/>
      </c>
    </row>
    <row r="24">
      <c r="B24" s="7" t="n">
        <v>15</v>
      </c>
      <c r="C24" s="5" t="inlineStr">
        <is>
          <t>601</t>
        </is>
      </c>
      <c r="D24" s="12" t="inlineStr">
        <is>
          <t>12:00</t>
        </is>
      </c>
      <c r="E24" s="12" t="n"/>
      <c r="F24" s="7">
        <f>IF(AND(D24&lt;&gt;"",E24&lt;&gt;""),"🔁 Back-to-Back",IF(AND(D24&lt;&gt;"",E24=""),"🧹 OUT thường",IF(AND(D24="",E24&lt;&gt;""),"🔑 ARR vào phòng trống","-")))</f>
        <v/>
      </c>
      <c r="G24" s="7">
        <f>IF(F24="🔁 Back-to-Back",ROUND((E24-D24)*1440,0),"-")</f>
        <v/>
      </c>
      <c r="H24" s="7">
        <f>IF(F24="🔁 Back-to-Back",'DINH MUC'!C3+'DINH MUC'!C13,IF(F24="🔑 ARR vào phòng trống",'DINH MUC'!C11+'DINH MUC'!C13,"-"))</f>
        <v/>
      </c>
      <c r="I24" s="7">
        <f>IF(F24="🔁 Back-to-Back",ROUND(G24-H24,0),"-")</f>
        <v/>
      </c>
      <c r="J24" s="7">
        <f>IF(F24&lt;&gt;"🔁 Back-to-Back","-",IF(I24&lt;0,"🔴 RỦI RO",IF(I24&lt;'DINH MUC'!C14,"🟠 GẤP",IF(I24&lt;'DINH MUC'!C15,"🟡 CẦN CHÚ Ý","🟢 AN TOÀN"))))</f>
        <v/>
      </c>
      <c r="K24" s="13">
        <f>IF(F24="🔁 Back-to-Back",E24-H24/1440,"-")</f>
        <v/>
      </c>
      <c r="L24" s="7">
        <f>IF(F24="🔁 Back-to-Back",RANK(I24,$I$10:$I$54,1),"-")</f>
        <v/>
      </c>
    </row>
    <row r="25">
      <c r="B25" s="7" t="n">
        <v>16</v>
      </c>
      <c r="C25" s="5" t="inlineStr">
        <is>
          <t>604</t>
        </is>
      </c>
      <c r="D25" s="12" t="inlineStr">
        <is>
          <t>9:00</t>
        </is>
      </c>
      <c r="E25" s="12" t="inlineStr">
        <is>
          <t>14:00</t>
        </is>
      </c>
      <c r="F25" s="7">
        <f>IF(AND(D25&lt;&gt;"",E25&lt;&gt;""),"🔁 Back-to-Back",IF(AND(D25&lt;&gt;"",E25=""),"🧹 OUT thường",IF(AND(D25="",E25&lt;&gt;""),"🔑 ARR vào phòng trống","-")))</f>
        <v/>
      </c>
      <c r="G25" s="7">
        <f>IF(F25="🔁 Back-to-Back",ROUND((E25-D25)*1440,0),"-")</f>
        <v/>
      </c>
      <c r="H25" s="7">
        <f>IF(F25="🔁 Back-to-Back",'DINH MUC'!C3+'DINH MUC'!C13,IF(F25="🔑 ARR vào phòng trống",'DINH MUC'!C11+'DINH MUC'!C13,"-"))</f>
        <v/>
      </c>
      <c r="I25" s="7">
        <f>IF(F25="🔁 Back-to-Back",ROUND(G25-H25,0),"-")</f>
        <v/>
      </c>
      <c r="J25" s="7">
        <f>IF(F25&lt;&gt;"🔁 Back-to-Back","-",IF(I25&lt;0,"🔴 RỦI RO",IF(I25&lt;'DINH MUC'!C14,"🟠 GẤP",IF(I25&lt;'DINH MUC'!C15,"🟡 CẦN CHÚ Ý","🟢 AN TOÀN"))))</f>
        <v/>
      </c>
      <c r="K25" s="13">
        <f>IF(F25="🔁 Back-to-Back",E25-H25/1440,"-")</f>
        <v/>
      </c>
      <c r="L25" s="7">
        <f>IF(F25="🔁 Back-to-Back",RANK(I25,$I$10:$I$54,1),"-")</f>
        <v/>
      </c>
    </row>
    <row r="26">
      <c r="B26" s="7" t="n">
        <v>17</v>
      </c>
      <c r="C26" s="5" t="inlineStr">
        <is>
          <t>605</t>
        </is>
      </c>
      <c r="D26" s="12" t="inlineStr">
        <is>
          <t>9:00</t>
        </is>
      </c>
      <c r="E26" s="12" t="inlineStr">
        <is>
          <t>14:00</t>
        </is>
      </c>
      <c r="F26" s="7">
        <f>IF(AND(D26&lt;&gt;"",E26&lt;&gt;""),"🔁 Back-to-Back",IF(AND(D26&lt;&gt;"",E26=""),"🧹 OUT thường",IF(AND(D26="",E26&lt;&gt;""),"🔑 ARR vào phòng trống","-")))</f>
        <v/>
      </c>
      <c r="G26" s="7">
        <f>IF(F26="🔁 Back-to-Back",ROUND((E26-D26)*1440,0),"-")</f>
        <v/>
      </c>
      <c r="H26" s="7">
        <f>IF(F26="🔁 Back-to-Back",'DINH MUC'!C3+'DINH MUC'!C13,IF(F26="🔑 ARR vào phòng trống",'DINH MUC'!C11+'DINH MUC'!C13,"-"))</f>
        <v/>
      </c>
      <c r="I26" s="7">
        <f>IF(F26="🔁 Back-to-Back",ROUND(G26-H26,0),"-")</f>
        <v/>
      </c>
      <c r="J26" s="7">
        <f>IF(F26&lt;&gt;"🔁 Back-to-Back","-",IF(I26&lt;0,"🔴 RỦI RO",IF(I26&lt;'DINH MUC'!C14,"🟠 GẤP",IF(I26&lt;'DINH MUC'!C15,"🟡 CẦN CHÚ Ý","🟢 AN TOÀN"))))</f>
        <v/>
      </c>
      <c r="K26" s="13">
        <f>IF(F26="🔁 Back-to-Back",E26-H26/1440,"-")</f>
        <v/>
      </c>
      <c r="L26" s="7">
        <f>IF(F26="🔁 Back-to-Back",RANK(I26,$I$10:$I$54,1),"-")</f>
        <v/>
      </c>
    </row>
    <row r="27">
      <c r="B27" s="7" t="n">
        <v>18</v>
      </c>
      <c r="C27" s="5" t="inlineStr">
        <is>
          <t>606</t>
        </is>
      </c>
      <c r="D27" s="12" t="inlineStr">
        <is>
          <t>12:00</t>
        </is>
      </c>
      <c r="E27" s="12" t="n"/>
      <c r="F27" s="7">
        <f>IF(AND(D27&lt;&gt;"",E27&lt;&gt;""),"🔁 Back-to-Back",IF(AND(D27&lt;&gt;"",E27=""),"🧹 OUT thường",IF(AND(D27="",E27&lt;&gt;""),"🔑 ARR vào phòng trống","-")))</f>
        <v/>
      </c>
      <c r="G27" s="7">
        <f>IF(F27="🔁 Back-to-Back",ROUND((E27-D27)*1440,0),"-")</f>
        <v/>
      </c>
      <c r="H27" s="7">
        <f>IF(F27="🔁 Back-to-Back",'DINH MUC'!C3+'DINH MUC'!C13,IF(F27="🔑 ARR vào phòng trống",'DINH MUC'!C11+'DINH MUC'!C13,"-"))</f>
        <v/>
      </c>
      <c r="I27" s="7">
        <f>IF(F27="🔁 Back-to-Back",ROUND(G27-H27,0),"-")</f>
        <v/>
      </c>
      <c r="J27" s="7">
        <f>IF(F27&lt;&gt;"🔁 Back-to-Back","-",IF(I27&lt;0,"🔴 RỦI RO",IF(I27&lt;'DINH MUC'!C14,"🟠 GẤP",IF(I27&lt;'DINH MUC'!C15,"🟡 CẦN CHÚ Ý","🟢 AN TOÀN"))))</f>
        <v/>
      </c>
      <c r="K27" s="13">
        <f>IF(F27="🔁 Back-to-Back",E27-H27/1440,"-")</f>
        <v/>
      </c>
      <c r="L27" s="7">
        <f>IF(F27="🔁 Back-to-Back",RANK(I27,$I$10:$I$54,1),"-")</f>
        <v/>
      </c>
    </row>
    <row r="28">
      <c r="B28" s="7" t="n">
        <v>19</v>
      </c>
      <c r="C28" s="5" t="inlineStr">
        <is>
          <t>701</t>
        </is>
      </c>
      <c r="D28" s="12" t="inlineStr">
        <is>
          <t>12:00</t>
        </is>
      </c>
      <c r="E28" s="12" t="n"/>
      <c r="F28" s="7">
        <f>IF(AND(D28&lt;&gt;"",E28&lt;&gt;""),"🔁 Back-to-Back",IF(AND(D28&lt;&gt;"",E28=""),"🧹 OUT thường",IF(AND(D28="",E28&lt;&gt;""),"🔑 ARR vào phòng trống","-")))</f>
        <v/>
      </c>
      <c r="G28" s="7">
        <f>IF(F28="🔁 Back-to-Back",ROUND((E28-D28)*1440,0),"-")</f>
        <v/>
      </c>
      <c r="H28" s="7">
        <f>IF(F28="🔁 Back-to-Back",'DINH MUC'!C3+'DINH MUC'!C13,IF(F28="🔑 ARR vào phòng trống",'DINH MUC'!C11+'DINH MUC'!C13,"-"))</f>
        <v/>
      </c>
      <c r="I28" s="7">
        <f>IF(F28="🔁 Back-to-Back",ROUND(G28-H28,0),"-")</f>
        <v/>
      </c>
      <c r="J28" s="7">
        <f>IF(F28&lt;&gt;"🔁 Back-to-Back","-",IF(I28&lt;0,"🔴 RỦI RO",IF(I28&lt;'DINH MUC'!C14,"🟠 GẤP",IF(I28&lt;'DINH MUC'!C15,"🟡 CẦN CHÚ Ý","🟢 AN TOÀN"))))</f>
        <v/>
      </c>
      <c r="K28" s="13">
        <f>IF(F28="🔁 Back-to-Back",E28-H28/1440,"-")</f>
        <v/>
      </c>
      <c r="L28" s="7">
        <f>IF(F28="🔁 Back-to-Back",RANK(I28,$I$10:$I$54,1),"-")</f>
        <v/>
      </c>
    </row>
    <row r="29">
      <c r="B29" s="7" t="n">
        <v>20</v>
      </c>
      <c r="C29" s="5" t="inlineStr">
        <is>
          <t>704</t>
        </is>
      </c>
      <c r="D29" s="12" t="inlineStr">
        <is>
          <t>9:00</t>
        </is>
      </c>
      <c r="E29" s="12" t="inlineStr">
        <is>
          <t>14:00</t>
        </is>
      </c>
      <c r="F29" s="7">
        <f>IF(AND(D29&lt;&gt;"",E29&lt;&gt;""),"🔁 Back-to-Back",IF(AND(D29&lt;&gt;"",E29=""),"🧹 OUT thường",IF(AND(D29="",E29&lt;&gt;""),"🔑 ARR vào phòng trống","-")))</f>
        <v/>
      </c>
      <c r="G29" s="7">
        <f>IF(F29="🔁 Back-to-Back",ROUND((E29-D29)*1440,0),"-")</f>
        <v/>
      </c>
      <c r="H29" s="7">
        <f>IF(F29="🔁 Back-to-Back",'DINH MUC'!C3+'DINH MUC'!C13,IF(F29="🔑 ARR vào phòng trống",'DINH MUC'!C11+'DINH MUC'!C13,"-"))</f>
        <v/>
      </c>
      <c r="I29" s="7">
        <f>IF(F29="🔁 Back-to-Back",ROUND(G29-H29,0),"-")</f>
        <v/>
      </c>
      <c r="J29" s="7">
        <f>IF(F29&lt;&gt;"🔁 Back-to-Back","-",IF(I29&lt;0,"🔴 RỦI RO",IF(I29&lt;'DINH MUC'!C14,"🟠 GẤP",IF(I29&lt;'DINH MUC'!C15,"🟡 CẦN CHÚ Ý","🟢 AN TOÀN"))))</f>
        <v/>
      </c>
      <c r="K29" s="13">
        <f>IF(F29="🔁 Back-to-Back",E29-H29/1440,"-")</f>
        <v/>
      </c>
      <c r="L29" s="7">
        <f>IF(F29="🔁 Back-to-Back",RANK(I29,$I$10:$I$54,1),"-")</f>
        <v/>
      </c>
    </row>
    <row r="30">
      <c r="B30" s="7" t="n">
        <v>21</v>
      </c>
      <c r="C30" s="5" t="inlineStr">
        <is>
          <t>705</t>
        </is>
      </c>
      <c r="D30" s="12" t="inlineStr">
        <is>
          <t>12:00</t>
        </is>
      </c>
      <c r="E30" s="12" t="n"/>
      <c r="F30" s="7">
        <f>IF(AND(D30&lt;&gt;"",E30&lt;&gt;""),"🔁 Back-to-Back",IF(AND(D30&lt;&gt;"",E30=""),"🧹 OUT thường",IF(AND(D30="",E30&lt;&gt;""),"🔑 ARR vào phòng trống","-")))</f>
        <v/>
      </c>
      <c r="G30" s="7">
        <f>IF(F30="🔁 Back-to-Back",ROUND((E30-D30)*1440,0),"-")</f>
        <v/>
      </c>
      <c r="H30" s="7">
        <f>IF(F30="🔁 Back-to-Back",'DINH MUC'!C3+'DINH MUC'!C13,IF(F30="🔑 ARR vào phòng trống",'DINH MUC'!C11+'DINH MUC'!C13,"-"))</f>
        <v/>
      </c>
      <c r="I30" s="7">
        <f>IF(F30="🔁 Back-to-Back",ROUND(G30-H30,0),"-")</f>
        <v/>
      </c>
      <c r="J30" s="7">
        <f>IF(F30&lt;&gt;"🔁 Back-to-Back","-",IF(I30&lt;0,"🔴 RỦI RO",IF(I30&lt;'DINH MUC'!C14,"🟠 GẤP",IF(I30&lt;'DINH MUC'!C15,"🟡 CẦN CHÚ Ý","🟢 AN TOÀN"))))</f>
        <v/>
      </c>
      <c r="K30" s="13">
        <f>IF(F30="🔁 Back-to-Back",E30-H30/1440,"-")</f>
        <v/>
      </c>
      <c r="L30" s="7">
        <f>IF(F30="🔁 Back-to-Back",RANK(I30,$I$10:$I$54,1),"-")</f>
        <v/>
      </c>
    </row>
    <row r="31">
      <c r="B31" s="7" t="n">
        <v>22</v>
      </c>
      <c r="C31" s="5" t="inlineStr">
        <is>
          <t>706</t>
        </is>
      </c>
      <c r="D31" s="12" t="inlineStr">
        <is>
          <t>9:00</t>
        </is>
      </c>
      <c r="E31" s="12" t="n"/>
      <c r="F31" s="7">
        <f>IF(AND(D31&lt;&gt;"",E31&lt;&gt;""),"🔁 Back-to-Back",IF(AND(D31&lt;&gt;"",E31=""),"🧹 OUT thường",IF(AND(D31="",E31&lt;&gt;""),"🔑 ARR vào phòng trống","-")))</f>
        <v/>
      </c>
      <c r="G31" s="7">
        <f>IF(F31="🔁 Back-to-Back",ROUND((E31-D31)*1440,0),"-")</f>
        <v/>
      </c>
      <c r="H31" s="7">
        <f>IF(F31="🔁 Back-to-Back",'DINH MUC'!C3+'DINH MUC'!C13,IF(F31="🔑 ARR vào phòng trống",'DINH MUC'!C11+'DINH MUC'!C13,"-"))</f>
        <v/>
      </c>
      <c r="I31" s="7">
        <f>IF(F31="🔁 Back-to-Back",ROUND(G31-H31,0),"-")</f>
        <v/>
      </c>
      <c r="J31" s="7">
        <f>IF(F31&lt;&gt;"🔁 Back-to-Back","-",IF(I31&lt;0,"🔴 RỦI RO",IF(I31&lt;'DINH MUC'!C14,"🟠 GẤP",IF(I31&lt;'DINH MUC'!C15,"🟡 CẦN CHÚ Ý","🟢 AN TOÀN"))))</f>
        <v/>
      </c>
      <c r="K31" s="13">
        <f>IF(F31="🔁 Back-to-Back",E31-H31/1440,"-")</f>
        <v/>
      </c>
      <c r="L31" s="7">
        <f>IF(F31="🔁 Back-to-Back",RANK(I31,$I$10:$I$54,1),"-")</f>
        <v/>
      </c>
    </row>
    <row r="32">
      <c r="B32" s="7" t="n">
        <v>23</v>
      </c>
      <c r="C32" s="5" t="inlineStr">
        <is>
          <t>801</t>
        </is>
      </c>
      <c r="D32" s="12" t="inlineStr">
        <is>
          <t>12:00</t>
        </is>
      </c>
      <c r="E32" s="12" t="n"/>
      <c r="F32" s="7">
        <f>IF(AND(D32&lt;&gt;"",E32&lt;&gt;""),"🔁 Back-to-Back",IF(AND(D32&lt;&gt;"",E32=""),"🧹 OUT thường",IF(AND(D32="",E32&lt;&gt;""),"🔑 ARR vào phòng trống","-")))</f>
        <v/>
      </c>
      <c r="G32" s="7">
        <f>IF(F32="🔁 Back-to-Back",ROUND((E32-D32)*1440,0),"-")</f>
        <v/>
      </c>
      <c r="H32" s="7">
        <f>IF(F32="🔁 Back-to-Back",'DINH MUC'!C3+'DINH MUC'!C13,IF(F32="🔑 ARR vào phòng trống",'DINH MUC'!C11+'DINH MUC'!C13,"-"))</f>
        <v/>
      </c>
      <c r="I32" s="7">
        <f>IF(F32="🔁 Back-to-Back",ROUND(G32-H32,0),"-")</f>
        <v/>
      </c>
      <c r="J32" s="7">
        <f>IF(F32&lt;&gt;"🔁 Back-to-Back","-",IF(I32&lt;0,"🔴 RỦI RO",IF(I32&lt;'DINH MUC'!C14,"🟠 GẤP",IF(I32&lt;'DINH MUC'!C15,"🟡 CẦN CHÚ Ý","🟢 AN TOÀN"))))</f>
        <v/>
      </c>
      <c r="K32" s="13">
        <f>IF(F32="🔁 Back-to-Back",E32-H32/1440,"-")</f>
        <v/>
      </c>
      <c r="L32" s="7">
        <f>IF(F32="🔁 Back-to-Back",RANK(I32,$I$10:$I$54,1),"-")</f>
        <v/>
      </c>
    </row>
    <row r="33">
      <c r="B33" s="7" t="n">
        <v>24</v>
      </c>
      <c r="C33" s="5" t="inlineStr">
        <is>
          <t>803</t>
        </is>
      </c>
      <c r="D33" s="12" t="inlineStr">
        <is>
          <t>10:00</t>
        </is>
      </c>
      <c r="E33" s="12" t="inlineStr">
        <is>
          <t>14:00</t>
        </is>
      </c>
      <c r="F33" s="7">
        <f>IF(AND(D33&lt;&gt;"",E33&lt;&gt;""),"🔁 Back-to-Back",IF(AND(D33&lt;&gt;"",E33=""),"🧹 OUT thường",IF(AND(D33="",E33&lt;&gt;""),"🔑 ARR vào phòng trống","-")))</f>
        <v/>
      </c>
      <c r="G33" s="7">
        <f>IF(F33="🔁 Back-to-Back",ROUND((E33-D33)*1440,0),"-")</f>
        <v/>
      </c>
      <c r="H33" s="7">
        <f>IF(F33="🔁 Back-to-Back",'DINH MUC'!C3+'DINH MUC'!C13,IF(F33="🔑 ARR vào phòng trống",'DINH MUC'!C11+'DINH MUC'!C13,"-"))</f>
        <v/>
      </c>
      <c r="I33" s="7">
        <f>IF(F33="🔁 Back-to-Back",ROUND(G33-H33,0),"-")</f>
        <v/>
      </c>
      <c r="J33" s="7">
        <f>IF(F33&lt;&gt;"🔁 Back-to-Back","-",IF(I33&lt;0,"🔴 RỦI RO",IF(I33&lt;'DINH MUC'!C14,"🟠 GẤP",IF(I33&lt;'DINH MUC'!C15,"🟡 CẦN CHÚ Ý","🟢 AN TOÀN"))))</f>
        <v/>
      </c>
      <c r="K33" s="13">
        <f>IF(F33="🔁 Back-to-Back",E33-H33/1440,"-")</f>
        <v/>
      </c>
      <c r="L33" s="7">
        <f>IF(F33="🔁 Back-to-Back",RANK(I33,$I$10:$I$54,1),"-")</f>
        <v/>
      </c>
    </row>
    <row r="34">
      <c r="B34" s="7" t="n">
        <v>25</v>
      </c>
      <c r="C34" s="5" t="inlineStr">
        <is>
          <t>804</t>
        </is>
      </c>
      <c r="D34" s="12" t="inlineStr">
        <is>
          <t>8:30</t>
        </is>
      </c>
      <c r="E34" s="12" t="inlineStr">
        <is>
          <t>14:00</t>
        </is>
      </c>
      <c r="F34" s="7">
        <f>IF(AND(D34&lt;&gt;"",E34&lt;&gt;""),"🔁 Back-to-Back",IF(AND(D34&lt;&gt;"",E34=""),"🧹 OUT thường",IF(AND(D34="",E34&lt;&gt;""),"🔑 ARR vào phòng trống","-")))</f>
        <v/>
      </c>
      <c r="G34" s="7">
        <f>IF(F34="🔁 Back-to-Back",ROUND((E34-D34)*1440,0),"-")</f>
        <v/>
      </c>
      <c r="H34" s="7">
        <f>IF(F34="🔁 Back-to-Back",'DINH MUC'!C3+'DINH MUC'!C13,IF(F34="🔑 ARR vào phòng trống",'DINH MUC'!C11+'DINH MUC'!C13,"-"))</f>
        <v/>
      </c>
      <c r="I34" s="7">
        <f>IF(F34="🔁 Back-to-Back",ROUND(G34-H34,0),"-")</f>
        <v/>
      </c>
      <c r="J34" s="7">
        <f>IF(F34&lt;&gt;"🔁 Back-to-Back","-",IF(I34&lt;0,"🔴 RỦI RO",IF(I34&lt;'DINH MUC'!C14,"🟠 GẤP",IF(I34&lt;'DINH MUC'!C15,"🟡 CẦN CHÚ Ý","🟢 AN TOÀN"))))</f>
        <v/>
      </c>
      <c r="K34" s="13">
        <f>IF(F34="🔁 Back-to-Back",E34-H34/1440,"-")</f>
        <v/>
      </c>
      <c r="L34" s="7">
        <f>IF(F34="🔁 Back-to-Back",RANK(I34,$I$10:$I$54,1),"-")</f>
        <v/>
      </c>
    </row>
    <row r="35">
      <c r="B35" s="7" t="n">
        <v>26</v>
      </c>
      <c r="C35" s="5" t="inlineStr">
        <is>
          <t>805</t>
        </is>
      </c>
      <c r="D35" s="12" t="inlineStr">
        <is>
          <t>9:00</t>
        </is>
      </c>
      <c r="E35" s="12" t="n"/>
      <c r="F35" s="7">
        <f>IF(AND(D35&lt;&gt;"",E35&lt;&gt;""),"🔁 Back-to-Back",IF(AND(D35&lt;&gt;"",E35=""),"🧹 OUT thường",IF(AND(D35="",E35&lt;&gt;""),"🔑 ARR vào phòng trống","-")))</f>
        <v/>
      </c>
      <c r="G35" s="7">
        <f>IF(F35="🔁 Back-to-Back",ROUND((E35-D35)*1440,0),"-")</f>
        <v/>
      </c>
      <c r="H35" s="7">
        <f>IF(F35="🔁 Back-to-Back",'DINH MUC'!C3+'DINH MUC'!C13,IF(F35="🔑 ARR vào phòng trống",'DINH MUC'!C11+'DINH MUC'!C13,"-"))</f>
        <v/>
      </c>
      <c r="I35" s="7">
        <f>IF(F35="🔁 Back-to-Back",ROUND(G35-H35,0),"-")</f>
        <v/>
      </c>
      <c r="J35" s="7">
        <f>IF(F35&lt;&gt;"🔁 Back-to-Back","-",IF(I35&lt;0,"🔴 RỦI RO",IF(I35&lt;'DINH MUC'!C14,"🟠 GẤP",IF(I35&lt;'DINH MUC'!C15,"🟡 CẦN CHÚ Ý","🟢 AN TOÀN"))))</f>
        <v/>
      </c>
      <c r="K35" s="13">
        <f>IF(F35="🔁 Back-to-Back",E35-H35/1440,"-")</f>
        <v/>
      </c>
      <c r="L35" s="7">
        <f>IF(F35="🔁 Back-to-Back",RANK(I35,$I$10:$I$54,1),"-")</f>
        <v/>
      </c>
    </row>
    <row r="36">
      <c r="B36" s="7" t="n">
        <v>27</v>
      </c>
      <c r="C36" s="5" t="inlineStr">
        <is>
          <t>901</t>
        </is>
      </c>
      <c r="D36" s="12" t="inlineStr">
        <is>
          <t>12:00</t>
        </is>
      </c>
      <c r="E36" s="12" t="n"/>
      <c r="F36" s="7">
        <f>IF(AND(D36&lt;&gt;"",E36&lt;&gt;""),"🔁 Back-to-Back",IF(AND(D36&lt;&gt;"",E36=""),"🧹 OUT thường",IF(AND(D36="",E36&lt;&gt;""),"🔑 ARR vào phòng trống","-")))</f>
        <v/>
      </c>
      <c r="G36" s="7">
        <f>IF(F36="🔁 Back-to-Back",ROUND((E36-D36)*1440,0),"-")</f>
        <v/>
      </c>
      <c r="H36" s="7">
        <f>IF(F36="🔁 Back-to-Back",'DINH MUC'!C3+'DINH MUC'!C13,IF(F36="🔑 ARR vào phòng trống",'DINH MUC'!C11+'DINH MUC'!C13,"-"))</f>
        <v/>
      </c>
      <c r="I36" s="7">
        <f>IF(F36="🔁 Back-to-Back",ROUND(G36-H36,0),"-")</f>
        <v/>
      </c>
      <c r="J36" s="7">
        <f>IF(F36&lt;&gt;"🔁 Back-to-Back","-",IF(I36&lt;0,"🔴 RỦI RO",IF(I36&lt;'DINH MUC'!C14,"🟠 GẤP",IF(I36&lt;'DINH MUC'!C15,"🟡 CẦN CHÚ Ý","🟢 AN TOÀN"))))</f>
        <v/>
      </c>
      <c r="K36" s="13">
        <f>IF(F36="🔁 Back-to-Back",E36-H36/1440,"-")</f>
        <v/>
      </c>
      <c r="L36" s="7">
        <f>IF(F36="🔁 Back-to-Back",RANK(I36,$I$10:$I$54,1),"-")</f>
        <v/>
      </c>
    </row>
    <row r="37">
      <c r="B37" s="7" t="n">
        <v>28</v>
      </c>
      <c r="C37" s="5" t="inlineStr">
        <is>
          <t>902</t>
        </is>
      </c>
      <c r="D37" s="12" t="inlineStr">
        <is>
          <t>10:00</t>
        </is>
      </c>
      <c r="E37" s="12" t="inlineStr">
        <is>
          <t>14:00</t>
        </is>
      </c>
      <c r="F37" s="7">
        <f>IF(AND(D37&lt;&gt;"",E37&lt;&gt;""),"🔁 Back-to-Back",IF(AND(D37&lt;&gt;"",E37=""),"🧹 OUT thường",IF(AND(D37="",E37&lt;&gt;""),"🔑 ARR vào phòng trống","-")))</f>
        <v/>
      </c>
      <c r="G37" s="7">
        <f>IF(F37="🔁 Back-to-Back",ROUND((E37-D37)*1440,0),"-")</f>
        <v/>
      </c>
      <c r="H37" s="7">
        <f>IF(F37="🔁 Back-to-Back",'DINH MUC'!C3+'DINH MUC'!C13,IF(F37="🔑 ARR vào phòng trống",'DINH MUC'!C11+'DINH MUC'!C13,"-"))</f>
        <v/>
      </c>
      <c r="I37" s="7">
        <f>IF(F37="🔁 Back-to-Back",ROUND(G37-H37,0),"-")</f>
        <v/>
      </c>
      <c r="J37" s="7">
        <f>IF(F37&lt;&gt;"🔁 Back-to-Back","-",IF(I37&lt;0,"🔴 RỦI RO",IF(I37&lt;'DINH MUC'!C14,"🟠 GẤP",IF(I37&lt;'DINH MUC'!C15,"🟡 CẦN CHÚ Ý","🟢 AN TOÀN"))))</f>
        <v/>
      </c>
      <c r="K37" s="13">
        <f>IF(F37="🔁 Back-to-Back",E37-H37/1440,"-")</f>
        <v/>
      </c>
      <c r="L37" s="7">
        <f>IF(F37="🔁 Back-to-Back",RANK(I37,$I$10:$I$54,1),"-")</f>
        <v/>
      </c>
    </row>
    <row r="38">
      <c r="B38" s="7" t="n">
        <v>29</v>
      </c>
      <c r="C38" s="5" t="inlineStr">
        <is>
          <t>903</t>
        </is>
      </c>
      <c r="D38" s="12" t="inlineStr">
        <is>
          <t>10:00</t>
        </is>
      </c>
      <c r="E38" s="12" t="inlineStr">
        <is>
          <t>14:00</t>
        </is>
      </c>
      <c r="F38" s="7">
        <f>IF(AND(D38&lt;&gt;"",E38&lt;&gt;""),"🔁 Back-to-Back",IF(AND(D38&lt;&gt;"",E38=""),"🧹 OUT thường",IF(AND(D38="",E38&lt;&gt;""),"🔑 ARR vào phòng trống","-")))</f>
        <v/>
      </c>
      <c r="G38" s="7">
        <f>IF(F38="🔁 Back-to-Back",ROUND((E38-D38)*1440,0),"-")</f>
        <v/>
      </c>
      <c r="H38" s="7">
        <f>IF(F38="🔁 Back-to-Back",'DINH MUC'!C3+'DINH MUC'!C13,IF(F38="🔑 ARR vào phòng trống",'DINH MUC'!C11+'DINH MUC'!C13,"-"))</f>
        <v/>
      </c>
      <c r="I38" s="7">
        <f>IF(F38="🔁 Back-to-Back",ROUND(G38-H38,0),"-")</f>
        <v/>
      </c>
      <c r="J38" s="7">
        <f>IF(F38&lt;&gt;"🔁 Back-to-Back","-",IF(I38&lt;0,"🔴 RỦI RO",IF(I38&lt;'DINH MUC'!C14,"🟠 GẤP",IF(I38&lt;'DINH MUC'!C15,"🟡 CẦN CHÚ Ý","🟢 AN TOÀN"))))</f>
        <v/>
      </c>
      <c r="K38" s="13">
        <f>IF(F38="🔁 Back-to-Back",E38-H38/1440,"-")</f>
        <v/>
      </c>
      <c r="L38" s="7">
        <f>IF(F38="🔁 Back-to-Back",RANK(I38,$I$10:$I$54,1),"-")</f>
        <v/>
      </c>
    </row>
    <row r="39">
      <c r="B39" s="7" t="n">
        <v>30</v>
      </c>
      <c r="C39" s="5" t="inlineStr">
        <is>
          <t>904</t>
        </is>
      </c>
      <c r="D39" s="12" t="inlineStr">
        <is>
          <t>12:00</t>
        </is>
      </c>
      <c r="E39" s="12" t="inlineStr">
        <is>
          <t>14:00</t>
        </is>
      </c>
      <c r="F39" s="7">
        <f>IF(AND(D39&lt;&gt;"",E39&lt;&gt;""),"🔁 Back-to-Back",IF(AND(D39&lt;&gt;"",E39=""),"🧹 OUT thường",IF(AND(D39="",E39&lt;&gt;""),"🔑 ARR vào phòng trống","-")))</f>
        <v/>
      </c>
      <c r="G39" s="7">
        <f>IF(F39="🔁 Back-to-Back",ROUND((E39-D39)*1440,0),"-")</f>
        <v/>
      </c>
      <c r="H39" s="7">
        <f>IF(F39="🔁 Back-to-Back",'DINH MUC'!C3+'DINH MUC'!C13,IF(F39="🔑 ARR vào phòng trống",'DINH MUC'!C11+'DINH MUC'!C13,"-"))</f>
        <v/>
      </c>
      <c r="I39" s="7">
        <f>IF(F39="🔁 Back-to-Back",ROUND(G39-H39,0),"-")</f>
        <v/>
      </c>
      <c r="J39" s="7">
        <f>IF(F39&lt;&gt;"🔁 Back-to-Back","-",IF(I39&lt;0,"🔴 RỦI RO",IF(I39&lt;'DINH MUC'!C14,"🟠 GẤP",IF(I39&lt;'DINH MUC'!C15,"🟡 CẦN CHÚ Ý","🟢 AN TOÀN"))))</f>
        <v/>
      </c>
      <c r="K39" s="13">
        <f>IF(F39="🔁 Back-to-Back",E39-H39/1440,"-")</f>
        <v/>
      </c>
      <c r="L39" s="7">
        <f>IF(F39="🔁 Back-to-Back",RANK(I39,$I$10:$I$54,1),"-")</f>
        <v/>
      </c>
    </row>
    <row r="40">
      <c r="B40" s="7" t="n">
        <v>31</v>
      </c>
      <c r="C40" s="5" t="inlineStr">
        <is>
          <t>905</t>
        </is>
      </c>
      <c r="D40" s="12" t="inlineStr">
        <is>
          <t>9:00</t>
        </is>
      </c>
      <c r="E40" s="12" t="inlineStr">
        <is>
          <t>14:00</t>
        </is>
      </c>
      <c r="F40" s="7">
        <f>IF(AND(D40&lt;&gt;"",E40&lt;&gt;""),"🔁 Back-to-Back",IF(AND(D40&lt;&gt;"",E40=""),"🧹 OUT thường",IF(AND(D40="",E40&lt;&gt;""),"🔑 ARR vào phòng trống","-")))</f>
        <v/>
      </c>
      <c r="G40" s="7">
        <f>IF(F40="🔁 Back-to-Back",ROUND((E40-D40)*1440,0),"-")</f>
        <v/>
      </c>
      <c r="H40" s="7">
        <f>IF(F40="🔁 Back-to-Back",'DINH MUC'!C3+'DINH MUC'!C13,IF(F40="🔑 ARR vào phòng trống",'DINH MUC'!C11+'DINH MUC'!C13,"-"))</f>
        <v/>
      </c>
      <c r="I40" s="7">
        <f>IF(F40="🔁 Back-to-Back",ROUND(G40-H40,0),"-")</f>
        <v/>
      </c>
      <c r="J40" s="7">
        <f>IF(F40&lt;&gt;"🔁 Back-to-Back","-",IF(I40&lt;0,"🔴 RỦI RO",IF(I40&lt;'DINH MUC'!C14,"🟠 GẤP",IF(I40&lt;'DINH MUC'!C15,"🟡 CẦN CHÚ Ý","🟢 AN TOÀN"))))</f>
        <v/>
      </c>
      <c r="K40" s="13">
        <f>IF(F40="🔁 Back-to-Back",E40-H40/1440,"-")</f>
        <v/>
      </c>
      <c r="L40" s="7">
        <f>IF(F40="🔁 Back-to-Back",RANK(I40,$I$10:$I$54,1),"-")</f>
        <v/>
      </c>
    </row>
    <row r="41">
      <c r="B41" s="7" t="n">
        <v>32</v>
      </c>
      <c r="C41" s="5" t="inlineStr">
        <is>
          <t>1002</t>
        </is>
      </c>
      <c r="D41" s="12" t="inlineStr">
        <is>
          <t>12:00</t>
        </is>
      </c>
      <c r="E41" s="12" t="inlineStr">
        <is>
          <t>14:00</t>
        </is>
      </c>
      <c r="F41" s="7">
        <f>IF(AND(D41&lt;&gt;"",E41&lt;&gt;""),"🔁 Back-to-Back",IF(AND(D41&lt;&gt;"",E41=""),"🧹 OUT thường",IF(AND(D41="",E41&lt;&gt;""),"🔑 ARR vào phòng trống","-")))</f>
        <v/>
      </c>
      <c r="G41" s="7">
        <f>IF(F41="🔁 Back-to-Back",ROUND((E41-D41)*1440,0),"-")</f>
        <v/>
      </c>
      <c r="H41" s="7">
        <f>IF(F41="🔁 Back-to-Back",'DINH MUC'!C3+'DINH MUC'!C13,IF(F41="🔑 ARR vào phòng trống",'DINH MUC'!C11+'DINH MUC'!C13,"-"))</f>
        <v/>
      </c>
      <c r="I41" s="7">
        <f>IF(F41="🔁 Back-to-Back",ROUND(G41-H41,0),"-")</f>
        <v/>
      </c>
      <c r="J41" s="7">
        <f>IF(F41&lt;&gt;"🔁 Back-to-Back","-",IF(I41&lt;0,"🔴 RỦI RO",IF(I41&lt;'DINH MUC'!C14,"🟠 GẤP",IF(I41&lt;'DINH MUC'!C15,"🟡 CẦN CHÚ Ý","🟢 AN TOÀN"))))</f>
        <v/>
      </c>
      <c r="K41" s="13">
        <f>IF(F41="🔁 Back-to-Back",E41-H41/1440,"-")</f>
        <v/>
      </c>
      <c r="L41" s="7">
        <f>IF(F41="🔁 Back-to-Back",RANK(I41,$I$10:$I$54,1),"-")</f>
        <v/>
      </c>
    </row>
    <row r="42">
      <c r="B42" s="7" t="n">
        <v>33</v>
      </c>
      <c r="C42" s="5" t="inlineStr">
        <is>
          <t>1003</t>
        </is>
      </c>
      <c r="D42" s="12" t="inlineStr">
        <is>
          <t>10:00</t>
        </is>
      </c>
      <c r="E42" s="12" t="n"/>
      <c r="F42" s="7">
        <f>IF(AND(D42&lt;&gt;"",E42&lt;&gt;""),"🔁 Back-to-Back",IF(AND(D42&lt;&gt;"",E42=""),"🧹 OUT thường",IF(AND(D42="",E42&lt;&gt;""),"🔑 ARR vào phòng trống","-")))</f>
        <v/>
      </c>
      <c r="G42" s="7">
        <f>IF(F42="🔁 Back-to-Back",ROUND((E42-D42)*1440,0),"-")</f>
        <v/>
      </c>
      <c r="H42" s="7">
        <f>IF(F42="🔁 Back-to-Back",'DINH MUC'!C3+'DINH MUC'!C13,IF(F42="🔑 ARR vào phòng trống",'DINH MUC'!C11+'DINH MUC'!C13,"-"))</f>
        <v/>
      </c>
      <c r="I42" s="7">
        <f>IF(F42="🔁 Back-to-Back",ROUND(G42-H42,0),"-")</f>
        <v/>
      </c>
      <c r="J42" s="7">
        <f>IF(F42&lt;&gt;"🔁 Back-to-Back","-",IF(I42&lt;0,"🔴 RỦI RO",IF(I42&lt;'DINH MUC'!C14,"🟠 GẤP",IF(I42&lt;'DINH MUC'!C15,"🟡 CẦN CHÚ Ý","🟢 AN TOÀN"))))</f>
        <v/>
      </c>
      <c r="K42" s="13">
        <f>IF(F42="🔁 Back-to-Back",E42-H42/1440,"-")</f>
        <v/>
      </c>
      <c r="L42" s="7">
        <f>IF(F42="🔁 Back-to-Back",RANK(I42,$I$10:$I$54,1),"-")</f>
        <v/>
      </c>
    </row>
    <row r="43">
      <c r="B43" s="7" t="n">
        <v>34</v>
      </c>
      <c r="C43" s="5" t="inlineStr">
        <is>
          <t>1004</t>
        </is>
      </c>
      <c r="D43" s="12" t="inlineStr">
        <is>
          <t>8:00</t>
        </is>
      </c>
      <c r="E43" s="12" t="n"/>
      <c r="F43" s="7">
        <f>IF(AND(D43&lt;&gt;"",E43&lt;&gt;""),"🔁 Back-to-Back",IF(AND(D43&lt;&gt;"",E43=""),"🧹 OUT thường",IF(AND(D43="",E43&lt;&gt;""),"🔑 ARR vào phòng trống","-")))</f>
        <v/>
      </c>
      <c r="G43" s="7">
        <f>IF(F43="🔁 Back-to-Back",ROUND((E43-D43)*1440,0),"-")</f>
        <v/>
      </c>
      <c r="H43" s="7">
        <f>IF(F43="🔁 Back-to-Back",'DINH MUC'!C3+'DINH MUC'!C13,IF(F43="🔑 ARR vào phòng trống",'DINH MUC'!C11+'DINH MUC'!C13,"-"))</f>
        <v/>
      </c>
      <c r="I43" s="7">
        <f>IF(F43="🔁 Back-to-Back",ROUND(G43-H43,0),"-")</f>
        <v/>
      </c>
      <c r="J43" s="7">
        <f>IF(F43&lt;&gt;"🔁 Back-to-Back","-",IF(I43&lt;0,"🔴 RỦI RO",IF(I43&lt;'DINH MUC'!C14,"🟠 GẤP",IF(I43&lt;'DINH MUC'!C15,"🟡 CẦN CHÚ Ý","🟢 AN TOÀN"))))</f>
        <v/>
      </c>
      <c r="K43" s="13">
        <f>IF(F43="🔁 Back-to-Back",E43-H43/1440,"-")</f>
        <v/>
      </c>
      <c r="L43" s="7">
        <f>IF(F43="🔁 Back-to-Back",RANK(I43,$I$10:$I$54,1),"-")</f>
        <v/>
      </c>
    </row>
    <row r="44">
      <c r="B44" s="7" t="n">
        <v>35</v>
      </c>
      <c r="C44" s="5" t="inlineStr">
        <is>
          <t>1005</t>
        </is>
      </c>
      <c r="D44" s="12" t="inlineStr">
        <is>
          <t>12:00</t>
        </is>
      </c>
      <c r="E44" s="12" t="n"/>
      <c r="F44" s="7">
        <f>IF(AND(D44&lt;&gt;"",E44&lt;&gt;""),"🔁 Back-to-Back",IF(AND(D44&lt;&gt;"",E44=""),"🧹 OUT thường",IF(AND(D44="",E44&lt;&gt;""),"🔑 ARR vào phòng trống","-")))</f>
        <v/>
      </c>
      <c r="G44" s="7">
        <f>IF(F44="🔁 Back-to-Back",ROUND((E44-D44)*1440,0),"-")</f>
        <v/>
      </c>
      <c r="H44" s="7">
        <f>IF(F44="🔁 Back-to-Back",'DINH MUC'!C3+'DINH MUC'!C13,IF(F44="🔑 ARR vào phòng trống",'DINH MUC'!C11+'DINH MUC'!C13,"-"))</f>
        <v/>
      </c>
      <c r="I44" s="7">
        <f>IF(F44="🔁 Back-to-Back",ROUND(G44-H44,0),"-")</f>
        <v/>
      </c>
      <c r="J44" s="7">
        <f>IF(F44&lt;&gt;"🔁 Back-to-Back","-",IF(I44&lt;0,"🔴 RỦI RO",IF(I44&lt;'DINH MUC'!C14,"🟠 GẤP",IF(I44&lt;'DINH MUC'!C15,"🟡 CẦN CHÚ Ý","🟢 AN TOÀN"))))</f>
        <v/>
      </c>
      <c r="K44" s="13">
        <f>IF(F44="🔁 Back-to-Back",E44-H44/1440,"-")</f>
        <v/>
      </c>
      <c r="L44" s="7">
        <f>IF(F44="🔁 Back-to-Back",RANK(I44,$I$10:$I$54,1),"-")</f>
        <v/>
      </c>
    </row>
    <row r="45">
      <c r="B45" s="7" t="n">
        <v>36</v>
      </c>
      <c r="C45" s="5" t="inlineStr">
        <is>
          <t>1006</t>
        </is>
      </c>
      <c r="D45" s="12" t="inlineStr">
        <is>
          <t>10:00</t>
        </is>
      </c>
      <c r="E45" s="12" t="n"/>
      <c r="F45" s="7">
        <f>IF(AND(D45&lt;&gt;"",E45&lt;&gt;""),"🔁 Back-to-Back",IF(AND(D45&lt;&gt;"",E45=""),"🧹 OUT thường",IF(AND(D45="",E45&lt;&gt;""),"🔑 ARR vào phòng trống","-")))</f>
        <v/>
      </c>
      <c r="G45" s="7">
        <f>IF(F45="🔁 Back-to-Back",ROUND((E45-D45)*1440,0),"-")</f>
        <v/>
      </c>
      <c r="H45" s="7">
        <f>IF(F45="🔁 Back-to-Back",'DINH MUC'!C3+'DINH MUC'!C13,IF(F45="🔑 ARR vào phòng trống",'DINH MUC'!C11+'DINH MUC'!C13,"-"))</f>
        <v/>
      </c>
      <c r="I45" s="7">
        <f>IF(F45="🔁 Back-to-Back",ROUND(G45-H45,0),"-")</f>
        <v/>
      </c>
      <c r="J45" s="7">
        <f>IF(F45&lt;&gt;"🔁 Back-to-Back","-",IF(I45&lt;0,"🔴 RỦI RO",IF(I45&lt;'DINH MUC'!C14,"🟠 GẤP",IF(I45&lt;'DINH MUC'!C15,"🟡 CẦN CHÚ Ý","🟢 AN TOÀN"))))</f>
        <v/>
      </c>
      <c r="K45" s="13">
        <f>IF(F45="🔁 Back-to-Back",E45-H45/1440,"-")</f>
        <v/>
      </c>
      <c r="L45" s="7">
        <f>IF(F45="🔁 Back-to-Back",RANK(I45,$I$10:$I$54,1),"-")</f>
        <v/>
      </c>
    </row>
    <row r="46">
      <c r="B46" s="7" t="n">
        <v>37</v>
      </c>
      <c r="C46" s="5" t="inlineStr">
        <is>
          <t>1104</t>
        </is>
      </c>
      <c r="D46" s="12" t="inlineStr">
        <is>
          <t>8:00</t>
        </is>
      </c>
      <c r="E46" s="12" t="n"/>
      <c r="F46" s="7">
        <f>IF(AND(D46&lt;&gt;"",E46&lt;&gt;""),"🔁 Back-to-Back",IF(AND(D46&lt;&gt;"",E46=""),"🧹 OUT thường",IF(AND(D46="",E46&lt;&gt;""),"🔑 ARR vào phòng trống","-")))</f>
        <v/>
      </c>
      <c r="G46" s="7">
        <f>IF(F46="🔁 Back-to-Back",ROUND((E46-D46)*1440,0),"-")</f>
        <v/>
      </c>
      <c r="H46" s="7">
        <f>IF(F46="🔁 Back-to-Back",'DINH MUC'!C3+'DINH MUC'!C13,IF(F46="🔑 ARR vào phòng trống",'DINH MUC'!C11+'DINH MUC'!C13,"-"))</f>
        <v/>
      </c>
      <c r="I46" s="7">
        <f>IF(F46="🔁 Back-to-Back",ROUND(G46-H46,0),"-")</f>
        <v/>
      </c>
      <c r="J46" s="7">
        <f>IF(F46&lt;&gt;"🔁 Back-to-Back","-",IF(I46&lt;0,"🔴 RỦI RO",IF(I46&lt;'DINH MUC'!C14,"🟠 GẤP",IF(I46&lt;'DINH MUC'!C15,"🟡 CẦN CHÚ Ý","🟢 AN TOÀN"))))</f>
        <v/>
      </c>
      <c r="K46" s="13">
        <f>IF(F46="🔁 Back-to-Back",E46-H46/1440,"-")</f>
        <v/>
      </c>
      <c r="L46" s="7">
        <f>IF(F46="🔁 Back-to-Back",RANK(I46,$I$10:$I$54,1),"-")</f>
        <v/>
      </c>
    </row>
    <row r="47">
      <c r="B47" s="7" t="n">
        <v>38</v>
      </c>
      <c r="C47" s="5" t="inlineStr">
        <is>
          <t>1105</t>
        </is>
      </c>
      <c r="D47" s="12" t="inlineStr">
        <is>
          <t>9:00</t>
        </is>
      </c>
      <c r="E47" s="12" t="n"/>
      <c r="F47" s="7">
        <f>IF(AND(D47&lt;&gt;"",E47&lt;&gt;""),"🔁 Back-to-Back",IF(AND(D47&lt;&gt;"",E47=""),"🧹 OUT thường",IF(AND(D47="",E47&lt;&gt;""),"🔑 ARR vào phòng trống","-")))</f>
        <v/>
      </c>
      <c r="G47" s="7">
        <f>IF(F47="🔁 Back-to-Back",ROUND((E47-D47)*1440,0),"-")</f>
        <v/>
      </c>
      <c r="H47" s="7">
        <f>IF(F47="🔁 Back-to-Back",'DINH MUC'!C3+'DINH MUC'!C13,IF(F47="🔑 ARR vào phòng trống",'DINH MUC'!C11+'DINH MUC'!C13,"-"))</f>
        <v/>
      </c>
      <c r="I47" s="7">
        <f>IF(F47="🔁 Back-to-Back",ROUND(G47-H47,0),"-")</f>
        <v/>
      </c>
      <c r="J47" s="7">
        <f>IF(F47&lt;&gt;"🔁 Back-to-Back","-",IF(I47&lt;0,"🔴 RỦI RO",IF(I47&lt;'DINH MUC'!C14,"🟠 GẤP",IF(I47&lt;'DINH MUC'!C15,"🟡 CẦN CHÚ Ý","🟢 AN TOÀN"))))</f>
        <v/>
      </c>
      <c r="K47" s="13">
        <f>IF(F47="🔁 Back-to-Back",E47-H47/1440,"-")</f>
        <v/>
      </c>
      <c r="L47" s="7">
        <f>IF(F47="🔁 Back-to-Back",RANK(I47,$I$10:$I$54,1),"-")</f>
        <v/>
      </c>
    </row>
    <row r="48">
      <c r="B48" s="7" t="n">
        <v>39</v>
      </c>
      <c r="C48" s="5" t="n"/>
      <c r="D48" s="12" t="n"/>
      <c r="E48" s="12" t="n"/>
      <c r="F48" s="7">
        <f>IF(AND(D48&lt;&gt;"",E48&lt;&gt;""),"🔁 Back-to-Back",IF(AND(D48&lt;&gt;"",E48=""),"🧹 OUT thường",IF(AND(D48="",E48&lt;&gt;""),"🔑 ARR vào phòng trống","-")))</f>
        <v/>
      </c>
      <c r="G48" s="7">
        <f>IF(F48="🔁 Back-to-Back",ROUND((E48-D48)*1440,0),"-")</f>
        <v/>
      </c>
      <c r="H48" s="7">
        <f>IF(F48="🔁 Back-to-Back",'DINH MUC'!C3+'DINH MUC'!C13,IF(F48="🔑 ARR vào phòng trống",'DINH MUC'!C11+'DINH MUC'!C13,"-"))</f>
        <v/>
      </c>
      <c r="I48" s="7">
        <f>IF(F48="🔁 Back-to-Back",ROUND(G48-H48,0),"-")</f>
        <v/>
      </c>
      <c r="J48" s="7">
        <f>IF(F48&lt;&gt;"🔁 Back-to-Back","-",IF(I48&lt;0,"🔴 RỦI RO",IF(I48&lt;'DINH MUC'!C14,"🟠 GẤP",IF(I48&lt;'DINH MUC'!C15,"🟡 CẦN CHÚ Ý","🟢 AN TOÀN"))))</f>
        <v/>
      </c>
      <c r="K48" s="13">
        <f>IF(F48="🔁 Back-to-Back",E48-H48/1440,"-")</f>
        <v/>
      </c>
      <c r="L48" s="7">
        <f>IF(F48="🔁 Back-to-Back",RANK(I48,$I$10:$I$54,1),"-")</f>
        <v/>
      </c>
    </row>
    <row r="49">
      <c r="B49" s="7" t="n">
        <v>40</v>
      </c>
      <c r="C49" s="5" t="n"/>
      <c r="D49" s="12" t="n"/>
      <c r="E49" s="12" t="n"/>
      <c r="F49" s="7">
        <f>IF(AND(D49&lt;&gt;"",E49&lt;&gt;""),"🔁 Back-to-Back",IF(AND(D49&lt;&gt;"",E49=""),"🧹 OUT thường",IF(AND(D49="",E49&lt;&gt;""),"🔑 ARR vào phòng trống","-")))</f>
        <v/>
      </c>
      <c r="G49" s="7">
        <f>IF(F49="🔁 Back-to-Back",ROUND((E49-D49)*1440,0),"-")</f>
        <v/>
      </c>
      <c r="H49" s="7">
        <f>IF(F49="🔁 Back-to-Back",'DINH MUC'!C3+'DINH MUC'!C13,IF(F49="🔑 ARR vào phòng trống",'DINH MUC'!C11+'DINH MUC'!C13,"-"))</f>
        <v/>
      </c>
      <c r="I49" s="7">
        <f>IF(F49="🔁 Back-to-Back",ROUND(G49-H49,0),"-")</f>
        <v/>
      </c>
      <c r="J49" s="7">
        <f>IF(F49&lt;&gt;"🔁 Back-to-Back","-",IF(I49&lt;0,"🔴 RỦI RO",IF(I49&lt;'DINH MUC'!C14,"🟠 GẤP",IF(I49&lt;'DINH MUC'!C15,"🟡 CẦN CHÚ Ý","🟢 AN TOÀN"))))</f>
        <v/>
      </c>
      <c r="K49" s="13">
        <f>IF(F49="🔁 Back-to-Back",E49-H49/1440,"-")</f>
        <v/>
      </c>
      <c r="L49" s="7">
        <f>IF(F49="🔁 Back-to-Back",RANK(I49,$I$10:$I$54,1),"-")</f>
        <v/>
      </c>
    </row>
    <row r="50">
      <c r="B50" s="7" t="n">
        <v>41</v>
      </c>
      <c r="C50" s="5" t="n"/>
      <c r="D50" s="12" t="n"/>
      <c r="E50" s="12" t="n"/>
      <c r="F50" s="7">
        <f>IF(AND(D50&lt;&gt;"",E50&lt;&gt;""),"🔁 Back-to-Back",IF(AND(D50&lt;&gt;"",E50=""),"🧹 OUT thường",IF(AND(D50="",E50&lt;&gt;""),"🔑 ARR vào phòng trống","-")))</f>
        <v/>
      </c>
      <c r="G50" s="7">
        <f>IF(F50="🔁 Back-to-Back",ROUND((E50-D50)*1440,0),"-")</f>
        <v/>
      </c>
      <c r="H50" s="7">
        <f>IF(F50="🔁 Back-to-Back",'DINH MUC'!C3+'DINH MUC'!C13,IF(F50="🔑 ARR vào phòng trống",'DINH MUC'!C11+'DINH MUC'!C13,"-"))</f>
        <v/>
      </c>
      <c r="I50" s="7">
        <f>IF(F50="🔁 Back-to-Back",ROUND(G50-H50,0),"-")</f>
        <v/>
      </c>
      <c r="J50" s="7">
        <f>IF(F50&lt;&gt;"🔁 Back-to-Back","-",IF(I50&lt;0,"🔴 RỦI RO",IF(I50&lt;'DINH MUC'!C14,"🟠 GẤP",IF(I50&lt;'DINH MUC'!C15,"🟡 CẦN CHÚ Ý","🟢 AN TOÀN"))))</f>
        <v/>
      </c>
      <c r="K50" s="13">
        <f>IF(F50="🔁 Back-to-Back",E50-H50/1440,"-")</f>
        <v/>
      </c>
      <c r="L50" s="7">
        <f>IF(F50="🔁 Back-to-Back",RANK(I50,$I$10:$I$54,1),"-")</f>
        <v/>
      </c>
    </row>
    <row r="51">
      <c r="B51" s="7" t="n">
        <v>42</v>
      </c>
      <c r="C51" s="5" t="n"/>
      <c r="D51" s="12" t="n"/>
      <c r="E51" s="12" t="n"/>
      <c r="F51" s="7">
        <f>IF(AND(D51&lt;&gt;"",E51&lt;&gt;""),"🔁 Back-to-Back",IF(AND(D51&lt;&gt;"",E51=""),"🧹 OUT thường",IF(AND(D51="",E51&lt;&gt;""),"🔑 ARR vào phòng trống","-")))</f>
        <v/>
      </c>
      <c r="G51" s="7">
        <f>IF(F51="🔁 Back-to-Back",ROUND((E51-D51)*1440,0),"-")</f>
        <v/>
      </c>
      <c r="H51" s="7">
        <f>IF(F51="🔁 Back-to-Back",'DINH MUC'!C3+'DINH MUC'!C13,IF(F51="🔑 ARR vào phòng trống",'DINH MUC'!C11+'DINH MUC'!C13,"-"))</f>
        <v/>
      </c>
      <c r="I51" s="7">
        <f>IF(F51="🔁 Back-to-Back",ROUND(G51-H51,0),"-")</f>
        <v/>
      </c>
      <c r="J51" s="7">
        <f>IF(F51&lt;&gt;"🔁 Back-to-Back","-",IF(I51&lt;0,"🔴 RỦI RO",IF(I51&lt;'DINH MUC'!C14,"🟠 GẤP",IF(I51&lt;'DINH MUC'!C15,"🟡 CẦN CHÚ Ý","🟢 AN TOÀN"))))</f>
        <v/>
      </c>
      <c r="K51" s="13">
        <f>IF(F51="🔁 Back-to-Back",E51-H51/1440,"-")</f>
        <v/>
      </c>
      <c r="L51" s="7">
        <f>IF(F51="🔁 Back-to-Back",RANK(I51,$I$10:$I$54,1),"-")</f>
        <v/>
      </c>
    </row>
    <row r="52">
      <c r="B52" s="7" t="n">
        <v>43</v>
      </c>
      <c r="C52" s="5" t="n"/>
      <c r="D52" s="12" t="n"/>
      <c r="E52" s="12" t="n"/>
      <c r="F52" s="7">
        <f>IF(AND(D52&lt;&gt;"",E52&lt;&gt;""),"🔁 Back-to-Back",IF(AND(D52&lt;&gt;"",E52=""),"🧹 OUT thường",IF(AND(D52="",E52&lt;&gt;""),"🔑 ARR vào phòng trống","-")))</f>
        <v/>
      </c>
      <c r="G52" s="7">
        <f>IF(F52="🔁 Back-to-Back",ROUND((E52-D52)*1440,0),"-")</f>
        <v/>
      </c>
      <c r="H52" s="7">
        <f>IF(F52="🔁 Back-to-Back",'DINH MUC'!C3+'DINH MUC'!C13,IF(F52="🔑 ARR vào phòng trống",'DINH MUC'!C11+'DINH MUC'!C13,"-"))</f>
        <v/>
      </c>
      <c r="I52" s="7">
        <f>IF(F52="🔁 Back-to-Back",ROUND(G52-H52,0),"-")</f>
        <v/>
      </c>
      <c r="J52" s="7">
        <f>IF(F52&lt;&gt;"🔁 Back-to-Back","-",IF(I52&lt;0,"🔴 RỦI RO",IF(I52&lt;'DINH MUC'!C14,"🟠 GẤP",IF(I52&lt;'DINH MUC'!C15,"🟡 CẦN CHÚ Ý","🟢 AN TOÀN"))))</f>
        <v/>
      </c>
      <c r="K52" s="13">
        <f>IF(F52="🔁 Back-to-Back",E52-H52/1440,"-")</f>
        <v/>
      </c>
      <c r="L52" s="7">
        <f>IF(F52="🔁 Back-to-Back",RANK(I52,$I$10:$I$54,1),"-")</f>
        <v/>
      </c>
    </row>
    <row r="53">
      <c r="B53" s="7" t="n">
        <v>44</v>
      </c>
      <c r="C53" s="5" t="n"/>
      <c r="D53" s="12" t="n"/>
      <c r="E53" s="12" t="n"/>
      <c r="F53" s="7">
        <f>IF(AND(D53&lt;&gt;"",E53&lt;&gt;""),"🔁 Back-to-Back",IF(AND(D53&lt;&gt;"",E53=""),"🧹 OUT thường",IF(AND(D53="",E53&lt;&gt;""),"🔑 ARR vào phòng trống","-")))</f>
        <v/>
      </c>
      <c r="G53" s="7">
        <f>IF(F53="🔁 Back-to-Back",ROUND((E53-D53)*1440,0),"-")</f>
        <v/>
      </c>
      <c r="H53" s="7">
        <f>IF(F53="🔁 Back-to-Back",'DINH MUC'!C3+'DINH MUC'!C13,IF(F53="🔑 ARR vào phòng trống",'DINH MUC'!C11+'DINH MUC'!C13,"-"))</f>
        <v/>
      </c>
      <c r="I53" s="7">
        <f>IF(F53="🔁 Back-to-Back",ROUND(G53-H53,0),"-")</f>
        <v/>
      </c>
      <c r="J53" s="7">
        <f>IF(F53&lt;&gt;"🔁 Back-to-Back","-",IF(I53&lt;0,"🔴 RỦI RO",IF(I53&lt;'DINH MUC'!C14,"🟠 GẤP",IF(I53&lt;'DINH MUC'!C15,"🟡 CẦN CHÚ Ý","🟢 AN TOÀN"))))</f>
        <v/>
      </c>
      <c r="K53" s="13">
        <f>IF(F53="🔁 Back-to-Back",E53-H53/1440,"-")</f>
        <v/>
      </c>
      <c r="L53" s="7">
        <f>IF(F53="🔁 Back-to-Back",RANK(I53,$I$10:$I$54,1),"-")</f>
        <v/>
      </c>
    </row>
    <row r="54">
      <c r="B54" s="7" t="n">
        <v>45</v>
      </c>
      <c r="C54" s="5" t="n"/>
      <c r="D54" s="12" t="n"/>
      <c r="E54" s="12" t="n"/>
      <c r="F54" s="7">
        <f>IF(AND(D54&lt;&gt;"",E54&lt;&gt;""),"🔁 Back-to-Back",IF(AND(D54&lt;&gt;"",E54=""),"🧹 OUT thường",IF(AND(D54="",E54&lt;&gt;""),"🔑 ARR vào phòng trống","-")))</f>
        <v/>
      </c>
      <c r="G54" s="7">
        <f>IF(F54="🔁 Back-to-Back",ROUND((E54-D54)*1440,0),"-")</f>
        <v/>
      </c>
      <c r="H54" s="7">
        <f>IF(F54="🔁 Back-to-Back",'DINH MUC'!C3+'DINH MUC'!C13,IF(F54="🔑 ARR vào phòng trống",'DINH MUC'!C11+'DINH MUC'!C13,"-"))</f>
        <v/>
      </c>
      <c r="I54" s="7">
        <f>IF(F54="🔁 Back-to-Back",ROUND(G54-H54,0),"-")</f>
        <v/>
      </c>
      <c r="J54" s="7">
        <f>IF(F54&lt;&gt;"🔁 Back-to-Back","-",IF(I54&lt;0,"🔴 RỦI RO",IF(I54&lt;'DINH MUC'!C14,"🟠 GẤP",IF(I54&lt;'DINH MUC'!C15,"🟡 CẦN CHÚ Ý","🟢 AN TOÀN"))))</f>
        <v/>
      </c>
      <c r="K54" s="13">
        <f>IF(F54="🔁 Back-to-Back",E54-H54/1440,"-")</f>
        <v/>
      </c>
      <c r="L54" s="7">
        <f>IF(F54="🔁 Back-to-Back",RANK(I54,$I$10:$I$54,1),"-")</f>
        <v/>
      </c>
    </row>
    <row r="56" ht="45" customHeight="1">
      <c r="B56" s="14" t="inlineStr">
        <is>
          <t>Giải thích: 'Thời gian trống' = khoảng cách Check-out đến Check-in. 'Thời gian cần' = định mức dọn OUT (hoặc kiểm tra VC) + bộ đệm an toàn (tab DINH MUC). 'Dư/Thiếu' &lt; 0 nghĩa là không kịp nếu chỉ bắt đầu sau khi khách check-out. Mức độ ưu tiên dùng để thay cho xác suất kịp giờ - vì không có dữ liệu lịch sử để tính xác suất chính xác, nên bảng dùng ngưỡng thời gian dư làm thước đo rủi ro (dư càng ít càng dễ trễ). Chỉnh 2 ngưỡng GẤP/CẦN CHÚ Ý và bộ đệm an toàn ở tab DINH MUC theo kinh nghiệm thực tế.</t>
        </is>
      </c>
    </row>
    <row r="57">
      <c r="B57" s="31" t="inlineStr">
        <is>
          <t>⚠ Lưu ý: phòng 506 xuất hiện 2 lần trong báo cáo gốc (vừa ở nhóm 'Tropical 8-9h sáng' vừa ở nhóm 'phòng còn lại OUT đúng giờ') - bảng đang lấy giờ 9:00 (sớm hơn, an toàn hơn), anh/chị kiểm tra lại giờ checkout thực tế của phòng này.</t>
        </is>
      </c>
    </row>
    <row r="58">
      <c r="B58" s="14" t="inlineStr">
        <is>
          <t>Quy đổi giờ từ nhãn trong báo cáo gốc: 'Tropical 8-9h sáng' -&gt; lấy 9:00 (cận muộn nhất, an toàn cho tính rủi ro); 'sau 15h' -&gt; lấy 15:00 (cận sớm nhất); 'phòng còn lại coi như OUT/IN đúng giờ' -&gt; lấy giờ chuẩn 12:00 / 14:00. Sửa trực tiếp cột Giờ Check-out/Check-in nếu có giờ chính xác hơn.</t>
        </is>
      </c>
    </row>
  </sheetData>
  <mergeCells count="13">
    <mergeCell ref="D6:E6"/>
    <mergeCell ref="B6:C6"/>
    <mergeCell ref="B57:K57"/>
    <mergeCell ref="H6:I6"/>
    <mergeCell ref="B7:C7"/>
    <mergeCell ref="B4:K4"/>
    <mergeCell ref="D7:E7"/>
    <mergeCell ref="B58:K58"/>
    <mergeCell ref="H7:I7"/>
    <mergeCell ref="B56:K56"/>
    <mergeCell ref="F6:G6"/>
    <mergeCell ref="B2:K3"/>
    <mergeCell ref="F7:G7"/>
  </mergeCells>
  <conditionalFormatting sqref="F10:J54">
    <cfRule type="expression" priority="2" dxfId="3">
      <formula>$J10="🔴 RỦI RO"</formula>
    </cfRule>
    <cfRule type="expression" priority="3" dxfId="2">
      <formula>$J10="🟠 GẤP"</formula>
    </cfRule>
    <cfRule type="expression" priority="4" dxfId="1">
      <formula>$J10="🟡 CẦN CHÚ Ý"</formula>
    </cfRule>
    <cfRule type="expression" priority="5" dxfId="0">
      <formula>$J10="🟢 AN TOÀN"</formula>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O78"/>
  <sheetViews>
    <sheetView showGridLines="0" workbookViewId="0">
      <pane xSplit="1" ySplit="15" topLeftCell="B16" activePane="bottomRight" state="frozen"/>
      <selection pane="topRight"/>
      <selection pane="bottomLeft"/>
      <selection pane="bottomRight" activeCell="A1" sqref="A1"/>
    </sheetView>
  </sheetViews>
  <sheetFormatPr baseColWidth="8" defaultRowHeight="15"/>
  <cols>
    <col width="5" customWidth="1" min="2" max="2"/>
    <col width="8" customWidth="1" min="3" max="3"/>
    <col width="11" customWidth="1" min="4" max="4"/>
    <col width="11" customWidth="1" min="5" max="5"/>
    <col width="13" customWidth="1" min="6" max="6"/>
    <col width="9" customWidth="1" min="7" max="7"/>
    <col width="9" customWidth="1" min="8" max="8"/>
    <col width="6" customWidth="1" min="9" max="9"/>
    <col width="6" customWidth="1" min="10" max="10"/>
    <col width="9" customWidth="1" min="11" max="11"/>
    <col width="9" customWidth="1" min="12" max="12"/>
    <col width="9" customWidth="1" min="13" max="13"/>
    <col width="14" customWidth="1" min="14" max="14"/>
    <col width="10" customWidth="1" min="15" max="15"/>
  </cols>
  <sheetData>
    <row r="2" ht="26" customHeight="1">
      <c r="B2" s="41" t="inlineStr">
        <is>
          <t>XẾP LỊCH &amp; CHIA GIỜ LÀM PHÒNG THEO CẶP — QUEEN ANN HOTEL</t>
        </is>
      </c>
    </row>
    <row r="3" ht="28" customHeight="1">
      <c r="B3" s="42" t="inlineStr">
        <is>
          <t>Xếp thứ tự làm từng phòng theo giờ Check-out / Check-in, chia giờ bắt đầu–kết thúc cho từng cặp, và cảnh báo phòng nào KHÔNG KỊP trước giờ nhận phòng. Sửa các ô màu vàng.</t>
        </is>
      </c>
    </row>
    <row r="4">
      <c r="B4" s="43" t="inlineStr">
        <is>
          <t>Ô VÀNG = nhập tay (số phòng, giờ Check-out, giờ Check-in, số Cặp). Cột xám = tự tính bằng công thức. Định mức thời gian lấy từ tab 'DINH MUC'.</t>
        </is>
      </c>
    </row>
    <row r="6">
      <c r="B6" s="44" t="inlineStr">
        <is>
          <t>THÔNG SỐ CA</t>
        </is>
      </c>
    </row>
    <row r="7">
      <c r="B7" s="45" t="inlineStr">
        <is>
          <t>Số CẶP làm phòng (2 người/cặp)</t>
        </is>
      </c>
      <c r="E7" s="46" t="n">
        <v>2</v>
      </c>
      <c r="G7" s="43" t="inlineStr">
        <is>
          <t>Gợi ý = tổng NV / 2. Có 4 người ⇒ 2 cặp; Sup xuống làm ⇒ tăng lên.</t>
        </is>
      </c>
    </row>
    <row r="8">
      <c r="B8" s="45" t="inlineStr">
        <is>
          <t>Giờ bắt đầu làm phòng (sớm nhất)</t>
        </is>
      </c>
      <c r="E8" s="47" t="n">
        <v>0.3333333333333333</v>
      </c>
      <c r="G8" s="43" t="inlineStr">
        <is>
          <t>Ca sớm/giữa bắt đầu dọn OUT + Inhouse.</t>
        </is>
      </c>
    </row>
    <row r="9">
      <c r="B9" s="45" t="inlineStr">
        <is>
          <t>Giờ nhận phòng chuẩn (hạn phòng OUT)</t>
        </is>
      </c>
      <c r="E9" s="47" t="n">
        <v>0.5833333333333334</v>
      </c>
      <c r="G9" s="43" t="inlineStr">
        <is>
          <t>Phòng OUT không có ARR vẫn nên sạch trước giờ này để bán.</t>
        </is>
      </c>
    </row>
    <row r="10">
      <c r="B10" s="45" t="inlineStr">
        <is>
          <t>Giờ kết thúc ca (hạn phòng Inhouse)</t>
        </is>
      </c>
      <c r="E10" s="47" t="n">
        <v>0.7083333333333334</v>
      </c>
      <c r="G10" s="43" t="inlineStr">
        <is>
          <t>Phòng Inhouse ưu tiên thấp, làm xen kẽ, xong trước giờ này.</t>
        </is>
      </c>
    </row>
    <row r="12">
      <c r="B12" s="44" t="inlineStr">
        <is>
          <t>TÓM TẮT (tự tính)</t>
        </is>
      </c>
    </row>
    <row r="13">
      <c r="B13" s="48" t="inlineStr">
        <is>
          <t>🔴 Không kịp</t>
        </is>
      </c>
      <c r="C13" s="49">
        <f>COUNTIF($N$16:$N$70,"🔴 Không kịp")</f>
        <v/>
      </c>
      <c r="D13" s="48" t="inlineStr">
        <is>
          <t>🟠 Sát giờ</t>
        </is>
      </c>
      <c r="E13" s="49">
        <f>COUNTIF($N$16:$N$70,"🟠 Sát giờ")</f>
        <v/>
      </c>
      <c r="F13" s="48" t="inlineStr">
        <is>
          <t>🟡 Chú ý</t>
        </is>
      </c>
      <c r="G13" s="49">
        <f>COUNTIF($N$16:$N$70,"🟡 Chú ý")</f>
        <v/>
      </c>
      <c r="H13" s="48" t="inlineStr">
        <is>
          <t>🟢 Kịp</t>
        </is>
      </c>
      <c r="I13" s="49">
        <f>COUNTIF($N$16:$N$70,"🟢 Kịp")</f>
        <v/>
      </c>
      <c r="J13" s="48" t="inlineStr">
        <is>
          <t>Phòng cần dọn</t>
        </is>
      </c>
      <c r="K13" s="49">
        <f>COUNTA($C$16:$C$70)</f>
        <v/>
      </c>
      <c r="L13" s="48" t="inlineStr">
        <is>
          <t>Giờ xong cuối</t>
        </is>
      </c>
      <c r="M13" s="50">
        <f>IF(COUNT($L$16:$L$70)=0,"",MAX($L$16:$L$70))</f>
        <v/>
      </c>
    </row>
    <row r="14" ht="26" customHeight="1">
      <c r="B14" s="51">
        <f>IF(C13&gt;0,"⚠ Có "&amp;C13&amp;" phòng KHÔNG KỊP trước hạn với "&amp;E7&amp;" cặp — Sup nên xuống làm cùng (tăng ô Số cặp), hoặc dời bớt giờ nhận phòng/ưu tiên phòng ARR sớm.","✓ Đủ thời gian với "&amp;E7&amp;" cặp làm phòng.")</f>
        <v/>
      </c>
    </row>
    <row r="15" ht="30" customHeight="1">
      <c r="B15" s="52" t="inlineStr">
        <is>
          <t>STT</t>
        </is>
      </c>
      <c r="C15" s="52" t="inlineStr">
        <is>
          <t>Số
phòng</t>
        </is>
      </c>
      <c r="D15" s="52" t="inlineStr">
        <is>
          <t>Giờ
Check-out</t>
        </is>
      </c>
      <c r="E15" s="52" t="inlineStr">
        <is>
          <t>Giờ
Check-in</t>
        </is>
      </c>
      <c r="F15" s="52" t="inlineStr">
        <is>
          <t>Loại (auto)</t>
        </is>
      </c>
      <c r="G15" s="52" t="inlineStr">
        <is>
          <t>Sẵn sàng</t>
        </is>
      </c>
      <c r="H15" s="52" t="inlineStr">
        <is>
          <t>Hạn chót</t>
        </is>
      </c>
      <c r="I15" s="52" t="inlineStr">
        <is>
          <t>Phút
cần</t>
        </is>
      </c>
      <c r="J15" s="52" t="inlineStr">
        <is>
          <t>Cặp
số</t>
        </is>
      </c>
      <c r="K15" s="52" t="inlineStr">
        <is>
          <t>Bắt đầu</t>
        </is>
      </c>
      <c r="L15" s="52" t="inlineStr">
        <is>
          <t>Xong</t>
        </is>
      </c>
      <c r="M15" s="52" t="inlineStr">
        <is>
          <t>Còn/Trễ
(phút)</t>
        </is>
      </c>
      <c r="N15" s="52" t="inlineStr">
        <is>
          <t>Trạng thái</t>
        </is>
      </c>
      <c r="O15" s="52" t="inlineStr">
        <is>
          <t>Bắt đầu
trễ nhất</t>
        </is>
      </c>
    </row>
    <row r="16">
      <c r="B16" s="53" t="n">
        <v>1</v>
      </c>
      <c r="C16" s="54" t="inlineStr">
        <is>
          <t>1004</t>
        </is>
      </c>
      <c r="D16" s="47" t="n">
        <v>0.3333333333333333</v>
      </c>
      <c r="E16" s="47" t="n"/>
      <c r="F16" s="53">
        <f>IF($C16="","",IF(AND($D16&lt;&gt;"",$E16&lt;&gt;""),"🔁 B2B",IF($D16&lt;&gt;"","🧹 OUT",IF($E16&lt;&gt;"","🔑 ARR","🛏 Inhouse"))))</f>
        <v/>
      </c>
      <c r="G16" s="55">
        <f>IF($C16="","",IF(OR($F16="🧹 OUT",$F16="🔁 B2B"),MAX($D16,$E$8),$E$8))</f>
        <v/>
      </c>
      <c r="H16" s="55">
        <f>IF($C16="","",IF($E16&lt;&gt;"",$E16,IF($F16="🧹 OUT",MAX($E$9,$D16),$E$10)))</f>
        <v/>
      </c>
      <c r="I16" s="56">
        <f>IF($C16="","",IF(OR($F16="🧹 OUT",$F16="🔁 B2B"),'DINH MUC'!$C$3,IF($F16="🔑 ARR",'DINH MUC'!$C$11,'DINH MUC'!$C$5)))</f>
        <v/>
      </c>
      <c r="J16" s="46" t="n">
        <v>1</v>
      </c>
      <c r="K16" s="55">
        <f>IF($C16="","",MAX($G16,_xlfn.MAXIFS($L$15:$L15,$J$15:$J15,$J16)))</f>
        <v/>
      </c>
      <c r="L16" s="55">
        <f>IF($C16="","",$K16+$I16/1440)</f>
        <v/>
      </c>
      <c r="M16" s="57">
        <f>IF($C16="","",ROUND(($H16-$L16)*1440,0))</f>
        <v/>
      </c>
      <c r="N16" s="53">
        <f>IF($C16="","",IF($M16&lt;0,"🔴 Không kịp",IF($M16&lt;'DINH MUC'!$C$14,"🟠 Sát giờ",IF($M16&lt;'DINH MUC'!$C$15,"🟡 Chú ý","🟢 Kịp"))))</f>
        <v/>
      </c>
      <c r="O16" s="55">
        <f>IF($C16="","",$H16-$I16/1440)</f>
        <v/>
      </c>
    </row>
    <row r="17">
      <c r="B17" s="53" t="n">
        <v>2</v>
      </c>
      <c r="C17" s="54" t="inlineStr">
        <is>
          <t>1104</t>
        </is>
      </c>
      <c r="D17" s="47" t="n">
        <v>0.3333333333333333</v>
      </c>
      <c r="E17" s="47" t="n"/>
      <c r="F17" s="53">
        <f>IF($C17="","",IF(AND($D17&lt;&gt;"",$E17&lt;&gt;""),"🔁 B2B",IF($D17&lt;&gt;"","🧹 OUT",IF($E17&lt;&gt;"","🔑 ARR","🛏 Inhouse"))))</f>
        <v/>
      </c>
      <c r="G17" s="55">
        <f>IF($C17="","",IF(OR($F17="🧹 OUT",$F17="🔁 B2B"),MAX($D17,$E$8),$E$8))</f>
        <v/>
      </c>
      <c r="H17" s="55">
        <f>IF($C17="","",IF($E17&lt;&gt;"",$E17,IF($F17="🧹 OUT",MAX($E$9,$D17),$E$10)))</f>
        <v/>
      </c>
      <c r="I17" s="56">
        <f>IF($C17="","",IF(OR($F17="🧹 OUT",$F17="🔁 B2B"),'DINH MUC'!$C$3,IF($F17="🔑 ARR",'DINH MUC'!$C$11,'DINH MUC'!$C$5)))</f>
        <v/>
      </c>
      <c r="J17" s="46" t="n">
        <v>2</v>
      </c>
      <c r="K17" s="55">
        <f>IF($C17="","",MAX($G17,_xlfn.MAXIFS($L$15:$L16,$J$15:$J16,$J17)))</f>
        <v/>
      </c>
      <c r="L17" s="55">
        <f>IF($C17="","",$K17+$I17/1440)</f>
        <v/>
      </c>
      <c r="M17" s="57">
        <f>IF($C17="","",ROUND(($H17-$L17)*1440,0))</f>
        <v/>
      </c>
      <c r="N17" s="53">
        <f>IF($C17="","",IF($M17&lt;0,"🔴 Không kịp",IF($M17&lt;'DINH MUC'!$C$14,"🟠 Sát giờ",IF($M17&lt;'DINH MUC'!$C$15,"🟡 Chú ý","🟢 Kịp"))))</f>
        <v/>
      </c>
      <c r="O17" s="55">
        <f>IF($C17="","",$H17-$I17/1440)</f>
        <v/>
      </c>
    </row>
    <row r="18">
      <c r="B18" s="53" t="n">
        <v>3</v>
      </c>
      <c r="C18" s="54" t="inlineStr">
        <is>
          <t>205</t>
        </is>
      </c>
      <c r="D18" s="47" t="n"/>
      <c r="E18" s="47" t="n"/>
      <c r="F18" s="53">
        <f>IF($C18="","",IF(AND($D18&lt;&gt;"",$E18&lt;&gt;""),"🔁 B2B",IF($D18&lt;&gt;"","🧹 OUT",IF($E18&lt;&gt;"","🔑 ARR","🛏 Inhouse"))))</f>
        <v/>
      </c>
      <c r="G18" s="55">
        <f>IF($C18="","",IF(OR($F18="🧹 OUT",$F18="🔁 B2B"),MAX($D18,$E$8),$E$8))</f>
        <v/>
      </c>
      <c r="H18" s="55">
        <f>IF($C18="","",IF($E18&lt;&gt;"",$E18,IF($F18="🧹 OUT",MAX($E$9,$D18),$E$10)))</f>
        <v/>
      </c>
      <c r="I18" s="56">
        <f>IF($C18="","",IF(OR($F18="🧹 OUT",$F18="🔁 B2B"),'DINH MUC'!$C$3,IF($F18="🔑 ARR",'DINH MUC'!$C$11,'DINH MUC'!$C$5)))</f>
        <v/>
      </c>
      <c r="J18" s="46" t="n">
        <v>1</v>
      </c>
      <c r="K18" s="55">
        <f>IF($C18="","",MAX($G18,_xlfn.MAXIFS($L$15:$L17,$J$15:$J17,$J18)))</f>
        <v/>
      </c>
      <c r="L18" s="55">
        <f>IF($C18="","",$K18+$I18/1440)</f>
        <v/>
      </c>
      <c r="M18" s="57">
        <f>IF($C18="","",ROUND(($H18-$L18)*1440,0))</f>
        <v/>
      </c>
      <c r="N18" s="53">
        <f>IF($C18="","",IF($M18&lt;0,"🔴 Không kịp",IF($M18&lt;'DINH MUC'!$C$14,"🟠 Sát giờ",IF($M18&lt;'DINH MUC'!$C$15,"🟡 Chú ý","🟢 Kịp"))))</f>
        <v/>
      </c>
      <c r="O18" s="55">
        <f>IF($C18="","",$H18-$I18/1440)</f>
        <v/>
      </c>
    </row>
    <row r="19">
      <c r="B19" s="53" t="n">
        <v>4</v>
      </c>
      <c r="C19" s="54" t="inlineStr">
        <is>
          <t>305</t>
        </is>
      </c>
      <c r="D19" s="47" t="n"/>
      <c r="E19" s="47" t="n"/>
      <c r="F19" s="53">
        <f>IF($C19="","",IF(AND($D19&lt;&gt;"",$E19&lt;&gt;""),"🔁 B2B",IF($D19&lt;&gt;"","🧹 OUT",IF($E19&lt;&gt;"","🔑 ARR","🛏 Inhouse"))))</f>
        <v/>
      </c>
      <c r="G19" s="55">
        <f>IF($C19="","",IF(OR($F19="🧹 OUT",$F19="🔁 B2B"),MAX($D19,$E$8),$E$8))</f>
        <v/>
      </c>
      <c r="H19" s="55">
        <f>IF($C19="","",IF($E19&lt;&gt;"",$E19,IF($F19="🧹 OUT",MAX($E$9,$D19),$E$10)))</f>
        <v/>
      </c>
      <c r="I19" s="56">
        <f>IF($C19="","",IF(OR($F19="🧹 OUT",$F19="🔁 B2B"),'DINH MUC'!$C$3,IF($F19="🔑 ARR",'DINH MUC'!$C$11,'DINH MUC'!$C$5)))</f>
        <v/>
      </c>
      <c r="J19" s="46" t="n">
        <v>2</v>
      </c>
      <c r="K19" s="55">
        <f>IF($C19="","",MAX($G19,_xlfn.MAXIFS($L$15:$L18,$J$15:$J18,$J19)))</f>
        <v/>
      </c>
      <c r="L19" s="55">
        <f>IF($C19="","",$K19+$I19/1440)</f>
        <v/>
      </c>
      <c r="M19" s="57">
        <f>IF($C19="","",ROUND(($H19-$L19)*1440,0))</f>
        <v/>
      </c>
      <c r="N19" s="53">
        <f>IF($C19="","",IF($M19&lt;0,"🔴 Không kịp",IF($M19&lt;'DINH MUC'!$C$14,"🟠 Sát giờ",IF($M19&lt;'DINH MUC'!$C$15,"🟡 Chú ý","🟢 Kịp"))))</f>
        <v/>
      </c>
      <c r="O19" s="55">
        <f>IF($C19="","",$H19-$I19/1440)</f>
        <v/>
      </c>
    </row>
    <row r="20">
      <c r="B20" s="53" t="n">
        <v>5</v>
      </c>
      <c r="C20" s="54" t="inlineStr">
        <is>
          <t>204</t>
        </is>
      </c>
      <c r="D20" s="47" t="n">
        <v>0.3541666666666667</v>
      </c>
      <c r="E20" s="47" t="n"/>
      <c r="F20" s="53">
        <f>IF($C20="","",IF(AND($D20&lt;&gt;"",$E20&lt;&gt;""),"🔁 B2B",IF($D20&lt;&gt;"","🧹 OUT",IF($E20&lt;&gt;"","🔑 ARR","🛏 Inhouse"))))</f>
        <v/>
      </c>
      <c r="G20" s="55">
        <f>IF($C20="","",IF(OR($F20="🧹 OUT",$F20="🔁 B2B"),MAX($D20,$E$8),$E$8))</f>
        <v/>
      </c>
      <c r="H20" s="55">
        <f>IF($C20="","",IF($E20&lt;&gt;"",$E20,IF($F20="🧹 OUT",MAX($E$9,$D20),$E$10)))</f>
        <v/>
      </c>
      <c r="I20" s="56">
        <f>IF($C20="","",IF(OR($F20="🧹 OUT",$F20="🔁 B2B"),'DINH MUC'!$C$3,IF($F20="🔑 ARR",'DINH MUC'!$C$11,'DINH MUC'!$C$5)))</f>
        <v/>
      </c>
      <c r="J20" s="46" t="n">
        <v>1</v>
      </c>
      <c r="K20" s="55">
        <f>IF($C20="","",MAX($G20,_xlfn.MAXIFS($L$15:$L19,$J$15:$J19,$J20)))</f>
        <v/>
      </c>
      <c r="L20" s="55">
        <f>IF($C20="","",$K20+$I20/1440)</f>
        <v/>
      </c>
      <c r="M20" s="57">
        <f>IF($C20="","",ROUND(($H20-$L20)*1440,0))</f>
        <v/>
      </c>
      <c r="N20" s="53">
        <f>IF($C20="","",IF($M20&lt;0,"🔴 Không kịp",IF($M20&lt;'DINH MUC'!$C$14,"🟠 Sát giờ",IF($M20&lt;'DINH MUC'!$C$15,"🟡 Chú ý","🟢 Kịp"))))</f>
        <v/>
      </c>
      <c r="O20" s="55">
        <f>IF($C20="","",$H20-$I20/1440)</f>
        <v/>
      </c>
    </row>
    <row r="21">
      <c r="B21" s="53" t="n">
        <v>6</v>
      </c>
      <c r="C21" s="54" t="inlineStr">
        <is>
          <t>804</t>
        </is>
      </c>
      <c r="D21" s="47" t="n">
        <v>0.3541666666666667</v>
      </c>
      <c r="E21" s="47" t="n">
        <v>0.5833333333333334</v>
      </c>
      <c r="F21" s="53">
        <f>IF($C21="","",IF(AND($D21&lt;&gt;"",$E21&lt;&gt;""),"🔁 B2B",IF($D21&lt;&gt;"","🧹 OUT",IF($E21&lt;&gt;"","🔑 ARR","🛏 Inhouse"))))</f>
        <v/>
      </c>
      <c r="G21" s="55">
        <f>IF($C21="","",IF(OR($F21="🧹 OUT",$F21="🔁 B2B"),MAX($D21,$E$8),$E$8))</f>
        <v/>
      </c>
      <c r="H21" s="55">
        <f>IF($C21="","",IF($E21&lt;&gt;"",$E21,IF($F21="🧹 OUT",MAX($E$9,$D21),$E$10)))</f>
        <v/>
      </c>
      <c r="I21" s="56">
        <f>IF($C21="","",IF(OR($F21="🧹 OUT",$F21="🔁 B2B"),'DINH MUC'!$C$3,IF($F21="🔑 ARR",'DINH MUC'!$C$11,'DINH MUC'!$C$5)))</f>
        <v/>
      </c>
      <c r="J21" s="46" t="n">
        <v>2</v>
      </c>
      <c r="K21" s="55">
        <f>IF($C21="","",MAX($G21,_xlfn.MAXIFS($L$15:$L20,$J$15:$J20,$J21)))</f>
        <v/>
      </c>
      <c r="L21" s="55">
        <f>IF($C21="","",$K21+$I21/1440)</f>
        <v/>
      </c>
      <c r="M21" s="57">
        <f>IF($C21="","",ROUND(($H21-$L21)*1440,0))</f>
        <v/>
      </c>
      <c r="N21" s="53">
        <f>IF($C21="","",IF($M21&lt;0,"🔴 Không kịp",IF($M21&lt;'DINH MUC'!$C$14,"🟠 Sát giờ",IF($M21&lt;'DINH MUC'!$C$15,"🟡 Chú ý","🟢 Kịp"))))</f>
        <v/>
      </c>
      <c r="O21" s="55">
        <f>IF($C21="","",$H21-$I21/1440)</f>
        <v/>
      </c>
    </row>
    <row r="22">
      <c r="B22" s="53" t="n">
        <v>7</v>
      </c>
      <c r="C22" s="54" t="inlineStr">
        <is>
          <t>404</t>
        </is>
      </c>
      <c r="D22" s="47" t="n"/>
      <c r="E22" s="47" t="n"/>
      <c r="F22" s="53">
        <f>IF($C22="","",IF(AND($D22&lt;&gt;"",$E22&lt;&gt;""),"🔁 B2B",IF($D22&lt;&gt;"","🧹 OUT",IF($E22&lt;&gt;"","🔑 ARR","🛏 Inhouse"))))</f>
        <v/>
      </c>
      <c r="G22" s="55">
        <f>IF($C22="","",IF(OR($F22="🧹 OUT",$F22="🔁 B2B"),MAX($D22,$E$8),$E$8))</f>
        <v/>
      </c>
      <c r="H22" s="55">
        <f>IF($C22="","",IF($E22&lt;&gt;"",$E22,IF($F22="🧹 OUT",MAX($E$9,$D22),$E$10)))</f>
        <v/>
      </c>
      <c r="I22" s="56">
        <f>IF($C22="","",IF(OR($F22="🧹 OUT",$F22="🔁 B2B"),'DINH MUC'!$C$3,IF($F22="🔑 ARR",'DINH MUC'!$C$11,'DINH MUC'!$C$5)))</f>
        <v/>
      </c>
      <c r="J22" s="46" t="n">
        <v>1</v>
      </c>
      <c r="K22" s="55">
        <f>IF($C22="","",MAX($G22,_xlfn.MAXIFS($L$15:$L21,$J$15:$J21,$J22)))</f>
        <v/>
      </c>
      <c r="L22" s="55">
        <f>IF($C22="","",$K22+$I22/1440)</f>
        <v/>
      </c>
      <c r="M22" s="57">
        <f>IF($C22="","",ROUND(($H22-$L22)*1440,0))</f>
        <v/>
      </c>
      <c r="N22" s="53">
        <f>IF($C22="","",IF($M22&lt;0,"🔴 Không kịp",IF($M22&lt;'DINH MUC'!$C$14,"🟠 Sát giờ",IF($M22&lt;'DINH MUC'!$C$15,"🟡 Chú ý","🟢 Kịp"))))</f>
        <v/>
      </c>
      <c r="O22" s="55">
        <f>IF($C22="","",$H22-$I22/1440)</f>
        <v/>
      </c>
    </row>
    <row r="23">
      <c r="B23" s="53" t="n">
        <v>8</v>
      </c>
      <c r="C23" s="54" t="inlineStr">
        <is>
          <t>502</t>
        </is>
      </c>
      <c r="D23" s="47" t="n"/>
      <c r="E23" s="47" t="n"/>
      <c r="F23" s="53">
        <f>IF($C23="","",IF(AND($D23&lt;&gt;"",$E23&lt;&gt;""),"🔁 B2B",IF($D23&lt;&gt;"","🧹 OUT",IF($E23&lt;&gt;"","🔑 ARR","🛏 Inhouse"))))</f>
        <v/>
      </c>
      <c r="G23" s="55">
        <f>IF($C23="","",IF(OR($F23="🧹 OUT",$F23="🔁 B2B"),MAX($D23,$E$8),$E$8))</f>
        <v/>
      </c>
      <c r="H23" s="55">
        <f>IF($C23="","",IF($E23&lt;&gt;"",$E23,IF($F23="🧹 OUT",MAX($E$9,$D23),$E$10)))</f>
        <v/>
      </c>
      <c r="I23" s="56">
        <f>IF($C23="","",IF(OR($F23="🧹 OUT",$F23="🔁 B2B"),'DINH MUC'!$C$3,IF($F23="🔑 ARR",'DINH MUC'!$C$11,'DINH MUC'!$C$5)))</f>
        <v/>
      </c>
      <c r="J23" s="46" t="n">
        <v>2</v>
      </c>
      <c r="K23" s="55">
        <f>IF($C23="","",MAX($G23,_xlfn.MAXIFS($L$15:$L22,$J$15:$J22,$J23)))</f>
        <v/>
      </c>
      <c r="L23" s="55">
        <f>IF($C23="","",$K23+$I23/1440)</f>
        <v/>
      </c>
      <c r="M23" s="57">
        <f>IF($C23="","",ROUND(($H23-$L23)*1440,0))</f>
        <v/>
      </c>
      <c r="N23" s="53">
        <f>IF($C23="","",IF($M23&lt;0,"🔴 Không kịp",IF($M23&lt;'DINH MUC'!$C$14,"🟠 Sát giờ",IF($M23&lt;'DINH MUC'!$C$15,"🟡 Chú ý","🟢 Kịp"))))</f>
        <v/>
      </c>
      <c r="O23" s="55">
        <f>IF($C23="","",$H23-$I23/1440)</f>
        <v/>
      </c>
    </row>
    <row r="24">
      <c r="B24" s="53" t="n">
        <v>9</v>
      </c>
      <c r="C24" s="54" t="inlineStr">
        <is>
          <t>403</t>
        </is>
      </c>
      <c r="D24" s="47" t="n">
        <v>0.375</v>
      </c>
      <c r="E24" s="47" t="n">
        <v>0.5833333333333334</v>
      </c>
      <c r="F24" s="53">
        <f>IF($C24="","",IF(AND($D24&lt;&gt;"",$E24&lt;&gt;""),"🔁 B2B",IF($D24&lt;&gt;"","🧹 OUT",IF($E24&lt;&gt;"","🔑 ARR","🛏 Inhouse"))))</f>
        <v/>
      </c>
      <c r="G24" s="55">
        <f>IF($C24="","",IF(OR($F24="🧹 OUT",$F24="🔁 B2B"),MAX($D24,$E$8),$E$8))</f>
        <v/>
      </c>
      <c r="H24" s="55">
        <f>IF($C24="","",IF($E24&lt;&gt;"",$E24,IF($F24="🧹 OUT",MAX($E$9,$D24),$E$10)))</f>
        <v/>
      </c>
      <c r="I24" s="56">
        <f>IF($C24="","",IF(OR($F24="🧹 OUT",$F24="🔁 B2B"),'DINH MUC'!$C$3,IF($F24="🔑 ARR",'DINH MUC'!$C$11,'DINH MUC'!$C$5)))</f>
        <v/>
      </c>
      <c r="J24" s="46" t="n">
        <v>1</v>
      </c>
      <c r="K24" s="55">
        <f>IF($C24="","",MAX($G24,_xlfn.MAXIFS($L$15:$L23,$J$15:$J23,$J24)))</f>
        <v/>
      </c>
      <c r="L24" s="55">
        <f>IF($C24="","",$K24+$I24/1440)</f>
        <v/>
      </c>
      <c r="M24" s="57">
        <f>IF($C24="","",ROUND(($H24-$L24)*1440,0))</f>
        <v/>
      </c>
      <c r="N24" s="53">
        <f>IF($C24="","",IF($M24&lt;0,"🔴 Không kịp",IF($M24&lt;'DINH MUC'!$C$14,"🟠 Sát giờ",IF($M24&lt;'DINH MUC'!$C$15,"🟡 Chú ý","🟢 Kịp"))))</f>
        <v/>
      </c>
      <c r="O24" s="55">
        <f>IF($C24="","",$H24-$I24/1440)</f>
        <v/>
      </c>
    </row>
    <row r="25">
      <c r="B25" s="53" t="n">
        <v>10</v>
      </c>
      <c r="C25" s="54" t="inlineStr">
        <is>
          <t>506</t>
        </is>
      </c>
      <c r="D25" s="47" t="n">
        <v>0.375</v>
      </c>
      <c r="E25" s="47" t="n"/>
      <c r="F25" s="53">
        <f>IF($C25="","",IF(AND($D25&lt;&gt;"",$E25&lt;&gt;""),"🔁 B2B",IF($D25&lt;&gt;"","🧹 OUT",IF($E25&lt;&gt;"","🔑 ARR","🛏 Inhouse"))))</f>
        <v/>
      </c>
      <c r="G25" s="55">
        <f>IF($C25="","",IF(OR($F25="🧹 OUT",$F25="🔁 B2B"),MAX($D25,$E$8),$E$8))</f>
        <v/>
      </c>
      <c r="H25" s="55">
        <f>IF($C25="","",IF($E25&lt;&gt;"",$E25,IF($F25="🧹 OUT",MAX($E$9,$D25),$E$10)))</f>
        <v/>
      </c>
      <c r="I25" s="56">
        <f>IF($C25="","",IF(OR($F25="🧹 OUT",$F25="🔁 B2B"),'DINH MUC'!$C$3,IF($F25="🔑 ARR",'DINH MUC'!$C$11,'DINH MUC'!$C$5)))</f>
        <v/>
      </c>
      <c r="J25" s="46" t="n">
        <v>2</v>
      </c>
      <c r="K25" s="55">
        <f>IF($C25="","",MAX($G25,_xlfn.MAXIFS($L$15:$L24,$J$15:$J24,$J25)))</f>
        <v/>
      </c>
      <c r="L25" s="55">
        <f>IF($C25="","",$K25+$I25/1440)</f>
        <v/>
      </c>
      <c r="M25" s="57">
        <f>IF($C25="","",ROUND(($H25-$L25)*1440,0))</f>
        <v/>
      </c>
      <c r="N25" s="53">
        <f>IF($C25="","",IF($M25&lt;0,"🔴 Không kịp",IF($M25&lt;'DINH MUC'!$C$14,"🟠 Sát giờ",IF($M25&lt;'DINH MUC'!$C$15,"🟡 Chú ý","🟢 Kịp"))))</f>
        <v/>
      </c>
      <c r="O25" s="55">
        <f>IF($C25="","",$H25-$I25/1440)</f>
        <v/>
      </c>
    </row>
    <row r="26">
      <c r="B26" s="53" t="n">
        <v>11</v>
      </c>
      <c r="C26" s="54" t="inlineStr">
        <is>
          <t>604</t>
        </is>
      </c>
      <c r="D26" s="47" t="n">
        <v>0.375</v>
      </c>
      <c r="E26" s="47" t="n">
        <v>0.5833333333333334</v>
      </c>
      <c r="F26" s="53">
        <f>IF($C26="","",IF(AND($D26&lt;&gt;"",$E26&lt;&gt;""),"🔁 B2B",IF($D26&lt;&gt;"","🧹 OUT",IF($E26&lt;&gt;"","🔑 ARR","🛏 Inhouse"))))</f>
        <v/>
      </c>
      <c r="G26" s="55">
        <f>IF($C26="","",IF(OR($F26="🧹 OUT",$F26="🔁 B2B"),MAX($D26,$E$8),$E$8))</f>
        <v/>
      </c>
      <c r="H26" s="55">
        <f>IF($C26="","",IF($E26&lt;&gt;"",$E26,IF($F26="🧹 OUT",MAX($E$9,$D26),$E$10)))</f>
        <v/>
      </c>
      <c r="I26" s="56">
        <f>IF($C26="","",IF(OR($F26="🧹 OUT",$F26="🔁 B2B"),'DINH MUC'!$C$3,IF($F26="🔑 ARR",'DINH MUC'!$C$11,'DINH MUC'!$C$5)))</f>
        <v/>
      </c>
      <c r="J26" s="46" t="n">
        <v>1</v>
      </c>
      <c r="K26" s="55">
        <f>IF($C26="","",MAX($G26,_xlfn.MAXIFS($L$15:$L25,$J$15:$J25,$J26)))</f>
        <v/>
      </c>
      <c r="L26" s="55">
        <f>IF($C26="","",$K26+$I26/1440)</f>
        <v/>
      </c>
      <c r="M26" s="57">
        <f>IF($C26="","",ROUND(($H26-$L26)*1440,0))</f>
        <v/>
      </c>
      <c r="N26" s="53">
        <f>IF($C26="","",IF($M26&lt;0,"🔴 Không kịp",IF($M26&lt;'DINH MUC'!$C$14,"🟠 Sát giờ",IF($M26&lt;'DINH MUC'!$C$15,"🟡 Chú ý","🟢 Kịp"))))</f>
        <v/>
      </c>
      <c r="O26" s="55">
        <f>IF($C26="","",$H26-$I26/1440)</f>
        <v/>
      </c>
    </row>
    <row r="27">
      <c r="B27" s="53" t="n">
        <v>12</v>
      </c>
      <c r="C27" s="54" t="inlineStr">
        <is>
          <t>605</t>
        </is>
      </c>
      <c r="D27" s="47" t="n">
        <v>0.375</v>
      </c>
      <c r="E27" s="47" t="n">
        <v>0.5833333333333334</v>
      </c>
      <c r="F27" s="53">
        <f>IF($C27="","",IF(AND($D27&lt;&gt;"",$E27&lt;&gt;""),"🔁 B2B",IF($D27&lt;&gt;"","🧹 OUT",IF($E27&lt;&gt;"","🔑 ARR","🛏 Inhouse"))))</f>
        <v/>
      </c>
      <c r="G27" s="55">
        <f>IF($C27="","",IF(OR($F27="🧹 OUT",$F27="🔁 B2B"),MAX($D27,$E$8),$E$8))</f>
        <v/>
      </c>
      <c r="H27" s="55">
        <f>IF($C27="","",IF($E27&lt;&gt;"",$E27,IF($F27="🧹 OUT",MAX($E$9,$D27),$E$10)))</f>
        <v/>
      </c>
      <c r="I27" s="56">
        <f>IF($C27="","",IF(OR($F27="🧹 OUT",$F27="🔁 B2B"),'DINH MUC'!$C$3,IF($F27="🔑 ARR",'DINH MUC'!$C$11,'DINH MUC'!$C$5)))</f>
        <v/>
      </c>
      <c r="J27" s="46" t="n">
        <v>2</v>
      </c>
      <c r="K27" s="55">
        <f>IF($C27="","",MAX($G27,_xlfn.MAXIFS($L$15:$L26,$J$15:$J26,$J27)))</f>
        <v/>
      </c>
      <c r="L27" s="55">
        <f>IF($C27="","",$K27+$I27/1440)</f>
        <v/>
      </c>
      <c r="M27" s="57">
        <f>IF($C27="","",ROUND(($H27-$L27)*1440,0))</f>
        <v/>
      </c>
      <c r="N27" s="53">
        <f>IF($C27="","",IF($M27&lt;0,"🔴 Không kịp",IF($M27&lt;'DINH MUC'!$C$14,"🟠 Sát giờ",IF($M27&lt;'DINH MUC'!$C$15,"🟡 Chú ý","🟢 Kịp"))))</f>
        <v/>
      </c>
      <c r="O27" s="55">
        <f>IF($C27="","",$H27-$I27/1440)</f>
        <v/>
      </c>
    </row>
    <row r="28">
      <c r="B28" s="53" t="n">
        <v>13</v>
      </c>
      <c r="C28" s="54" t="inlineStr">
        <is>
          <t>704</t>
        </is>
      </c>
      <c r="D28" s="47" t="n">
        <v>0.375</v>
      </c>
      <c r="E28" s="47" t="n">
        <v>0.5833333333333334</v>
      </c>
      <c r="F28" s="53">
        <f>IF($C28="","",IF(AND($D28&lt;&gt;"",$E28&lt;&gt;""),"🔁 B2B",IF($D28&lt;&gt;"","🧹 OUT",IF($E28&lt;&gt;"","🔑 ARR","🛏 Inhouse"))))</f>
        <v/>
      </c>
      <c r="G28" s="55">
        <f>IF($C28="","",IF(OR($F28="🧹 OUT",$F28="🔁 B2B"),MAX($D28,$E$8),$E$8))</f>
        <v/>
      </c>
      <c r="H28" s="55">
        <f>IF($C28="","",IF($E28&lt;&gt;"",$E28,IF($F28="🧹 OUT",MAX($E$9,$D28),$E$10)))</f>
        <v/>
      </c>
      <c r="I28" s="56">
        <f>IF($C28="","",IF(OR($F28="🧹 OUT",$F28="🔁 B2B"),'DINH MUC'!$C$3,IF($F28="🔑 ARR",'DINH MUC'!$C$11,'DINH MUC'!$C$5)))</f>
        <v/>
      </c>
      <c r="J28" s="46" t="n">
        <v>1</v>
      </c>
      <c r="K28" s="55">
        <f>IF($C28="","",MAX($G28,_xlfn.MAXIFS($L$15:$L27,$J$15:$J27,$J28)))</f>
        <v/>
      </c>
      <c r="L28" s="55">
        <f>IF($C28="","",$K28+$I28/1440)</f>
        <v/>
      </c>
      <c r="M28" s="57">
        <f>IF($C28="","",ROUND(($H28-$L28)*1440,0))</f>
        <v/>
      </c>
      <c r="N28" s="53">
        <f>IF($C28="","",IF($M28&lt;0,"🔴 Không kịp",IF($M28&lt;'DINH MUC'!$C$14,"🟠 Sát giờ",IF($M28&lt;'DINH MUC'!$C$15,"🟡 Chú ý","🟢 Kịp"))))</f>
        <v/>
      </c>
      <c r="O28" s="55">
        <f>IF($C28="","",$H28-$I28/1440)</f>
        <v/>
      </c>
    </row>
    <row r="29">
      <c r="B29" s="53" t="n">
        <v>14</v>
      </c>
      <c r="C29" s="54" t="inlineStr">
        <is>
          <t>706</t>
        </is>
      </c>
      <c r="D29" s="47" t="n">
        <v>0.375</v>
      </c>
      <c r="E29" s="47" t="n"/>
      <c r="F29" s="53">
        <f>IF($C29="","",IF(AND($D29&lt;&gt;"",$E29&lt;&gt;""),"🔁 B2B",IF($D29&lt;&gt;"","🧹 OUT",IF($E29&lt;&gt;"","🔑 ARR","🛏 Inhouse"))))</f>
        <v/>
      </c>
      <c r="G29" s="55">
        <f>IF($C29="","",IF(OR($F29="🧹 OUT",$F29="🔁 B2B"),MAX($D29,$E$8),$E$8))</f>
        <v/>
      </c>
      <c r="H29" s="55">
        <f>IF($C29="","",IF($E29&lt;&gt;"",$E29,IF($F29="🧹 OUT",MAX($E$9,$D29),$E$10)))</f>
        <v/>
      </c>
      <c r="I29" s="56">
        <f>IF($C29="","",IF(OR($F29="🧹 OUT",$F29="🔁 B2B"),'DINH MUC'!$C$3,IF($F29="🔑 ARR",'DINH MUC'!$C$11,'DINH MUC'!$C$5)))</f>
        <v/>
      </c>
      <c r="J29" s="46" t="n">
        <v>2</v>
      </c>
      <c r="K29" s="55">
        <f>IF($C29="","",MAX($G29,_xlfn.MAXIFS($L$15:$L28,$J$15:$J28,$J29)))</f>
        <v/>
      </c>
      <c r="L29" s="55">
        <f>IF($C29="","",$K29+$I29/1440)</f>
        <v/>
      </c>
      <c r="M29" s="57">
        <f>IF($C29="","",ROUND(($H29-$L29)*1440,0))</f>
        <v/>
      </c>
      <c r="N29" s="53">
        <f>IF($C29="","",IF($M29&lt;0,"🔴 Không kịp",IF($M29&lt;'DINH MUC'!$C$14,"🟠 Sát giờ",IF($M29&lt;'DINH MUC'!$C$15,"🟡 Chú ý","🟢 Kịp"))))</f>
        <v/>
      </c>
      <c r="O29" s="55">
        <f>IF($C29="","",$H29-$I29/1440)</f>
        <v/>
      </c>
    </row>
    <row r="30">
      <c r="B30" s="53" t="n">
        <v>15</v>
      </c>
      <c r="C30" s="54" t="inlineStr">
        <is>
          <t>805</t>
        </is>
      </c>
      <c r="D30" s="47" t="n">
        <v>0.375</v>
      </c>
      <c r="E30" s="47" t="n"/>
      <c r="F30" s="53">
        <f>IF($C30="","",IF(AND($D30&lt;&gt;"",$E30&lt;&gt;""),"🔁 B2B",IF($D30&lt;&gt;"","🧹 OUT",IF($E30&lt;&gt;"","🔑 ARR","🛏 Inhouse"))))</f>
        <v/>
      </c>
      <c r="G30" s="55">
        <f>IF($C30="","",IF(OR($F30="🧹 OUT",$F30="🔁 B2B"),MAX($D30,$E$8),$E$8))</f>
        <v/>
      </c>
      <c r="H30" s="55">
        <f>IF($C30="","",IF($E30&lt;&gt;"",$E30,IF($F30="🧹 OUT",MAX($E$9,$D30),$E$10)))</f>
        <v/>
      </c>
      <c r="I30" s="56">
        <f>IF($C30="","",IF(OR($F30="🧹 OUT",$F30="🔁 B2B"),'DINH MUC'!$C$3,IF($F30="🔑 ARR",'DINH MUC'!$C$11,'DINH MUC'!$C$5)))</f>
        <v/>
      </c>
      <c r="J30" s="46" t="n">
        <v>1</v>
      </c>
      <c r="K30" s="55">
        <f>IF($C30="","",MAX($G30,_xlfn.MAXIFS($L$15:$L29,$J$15:$J29,$J30)))</f>
        <v/>
      </c>
      <c r="L30" s="55">
        <f>IF($C30="","",$K30+$I30/1440)</f>
        <v/>
      </c>
      <c r="M30" s="57">
        <f>IF($C30="","",ROUND(($H30-$L30)*1440,0))</f>
        <v/>
      </c>
      <c r="N30" s="53">
        <f>IF($C30="","",IF($M30&lt;0,"🔴 Không kịp",IF($M30&lt;'DINH MUC'!$C$14,"🟠 Sát giờ",IF($M30&lt;'DINH MUC'!$C$15,"🟡 Chú ý","🟢 Kịp"))))</f>
        <v/>
      </c>
      <c r="O30" s="55">
        <f>IF($C30="","",$H30-$I30/1440)</f>
        <v/>
      </c>
    </row>
    <row r="31">
      <c r="B31" s="53" t="n">
        <v>16</v>
      </c>
      <c r="C31" s="54" t="inlineStr">
        <is>
          <t>905</t>
        </is>
      </c>
      <c r="D31" s="47" t="n">
        <v>0.375</v>
      </c>
      <c r="E31" s="47" t="n">
        <v>0.5833333333333334</v>
      </c>
      <c r="F31" s="53">
        <f>IF($C31="","",IF(AND($D31&lt;&gt;"",$E31&lt;&gt;""),"🔁 B2B",IF($D31&lt;&gt;"","🧹 OUT",IF($E31&lt;&gt;"","🔑 ARR","🛏 Inhouse"))))</f>
        <v/>
      </c>
      <c r="G31" s="55">
        <f>IF($C31="","",IF(OR($F31="🧹 OUT",$F31="🔁 B2B"),MAX($D31,$E$8),$E$8))</f>
        <v/>
      </c>
      <c r="H31" s="55">
        <f>IF($C31="","",IF($E31&lt;&gt;"",$E31,IF($F31="🧹 OUT",MAX($E$9,$D31),$E$10)))</f>
        <v/>
      </c>
      <c r="I31" s="56">
        <f>IF($C31="","",IF(OR($F31="🧹 OUT",$F31="🔁 B2B"),'DINH MUC'!$C$3,IF($F31="🔑 ARR",'DINH MUC'!$C$11,'DINH MUC'!$C$5)))</f>
        <v/>
      </c>
      <c r="J31" s="46" t="n">
        <v>2</v>
      </c>
      <c r="K31" s="55">
        <f>IF($C31="","",MAX($G31,_xlfn.MAXIFS($L$15:$L30,$J$15:$J30,$J31)))</f>
        <v/>
      </c>
      <c r="L31" s="55">
        <f>IF($C31="","",$K31+$I31/1440)</f>
        <v/>
      </c>
      <c r="M31" s="57">
        <f>IF($C31="","",ROUND(($H31-$L31)*1440,0))</f>
        <v/>
      </c>
      <c r="N31" s="53">
        <f>IF($C31="","",IF($M31&lt;0,"🔴 Không kịp",IF($M31&lt;'DINH MUC'!$C$14,"🟠 Sát giờ",IF($M31&lt;'DINH MUC'!$C$15,"🟡 Chú ý","🟢 Kịp"))))</f>
        <v/>
      </c>
      <c r="O31" s="55">
        <f>IF($C31="","",$H31-$I31/1440)</f>
        <v/>
      </c>
    </row>
    <row r="32">
      <c r="B32" s="53" t="n">
        <v>17</v>
      </c>
      <c r="C32" s="54" t="inlineStr">
        <is>
          <t>1105</t>
        </is>
      </c>
      <c r="D32" s="47" t="n">
        <v>0.375</v>
      </c>
      <c r="E32" s="47" t="n"/>
      <c r="F32" s="53">
        <f>IF($C32="","",IF(AND($D32&lt;&gt;"",$E32&lt;&gt;""),"🔁 B2B",IF($D32&lt;&gt;"","🧹 OUT",IF($E32&lt;&gt;"","🔑 ARR","🛏 Inhouse"))))</f>
        <v/>
      </c>
      <c r="G32" s="55">
        <f>IF($C32="","",IF(OR($F32="🧹 OUT",$F32="🔁 B2B"),MAX($D32,$E$8),$E$8))</f>
        <v/>
      </c>
      <c r="H32" s="55">
        <f>IF($C32="","",IF($E32&lt;&gt;"",$E32,IF($F32="🧹 OUT",MAX($E$9,$D32),$E$10)))</f>
        <v/>
      </c>
      <c r="I32" s="56">
        <f>IF($C32="","",IF(OR($F32="🧹 OUT",$F32="🔁 B2B"),'DINH MUC'!$C$3,IF($F32="🔑 ARR",'DINH MUC'!$C$11,'DINH MUC'!$C$5)))</f>
        <v/>
      </c>
      <c r="J32" s="46" t="n">
        <v>1</v>
      </c>
      <c r="K32" s="55">
        <f>IF($C32="","",MAX($G32,_xlfn.MAXIFS($L$15:$L31,$J$15:$J31,$J32)))</f>
        <v/>
      </c>
      <c r="L32" s="55">
        <f>IF($C32="","",$K32+$I32/1440)</f>
        <v/>
      </c>
      <c r="M32" s="57">
        <f>IF($C32="","",ROUND(($H32-$L32)*1440,0))</f>
        <v/>
      </c>
      <c r="N32" s="53">
        <f>IF($C32="","",IF($M32&lt;0,"🔴 Không kịp",IF($M32&lt;'DINH MUC'!$C$14,"🟠 Sát giờ",IF($M32&lt;'DINH MUC'!$C$15,"🟡 Chú ý","🟢 Kịp"))))</f>
        <v/>
      </c>
      <c r="O32" s="55">
        <f>IF($C32="","",$H32-$I32/1440)</f>
        <v/>
      </c>
    </row>
    <row r="33">
      <c r="B33" s="53" t="n">
        <v>18</v>
      </c>
      <c r="C33" s="54" t="inlineStr">
        <is>
          <t>401</t>
        </is>
      </c>
      <c r="D33" s="47" t="n">
        <v>0.4166666666666667</v>
      </c>
      <c r="E33" s="47" t="n">
        <v>0.5833333333333334</v>
      </c>
      <c r="F33" s="53">
        <f>IF($C33="","",IF(AND($D33&lt;&gt;"",$E33&lt;&gt;""),"🔁 B2B",IF($D33&lt;&gt;"","🧹 OUT",IF($E33&lt;&gt;"","🔑 ARR","🛏 Inhouse"))))</f>
        <v/>
      </c>
      <c r="G33" s="55">
        <f>IF($C33="","",IF(OR($F33="🧹 OUT",$F33="🔁 B2B"),MAX($D33,$E$8),$E$8))</f>
        <v/>
      </c>
      <c r="H33" s="55">
        <f>IF($C33="","",IF($E33&lt;&gt;"",$E33,IF($F33="🧹 OUT",MAX($E$9,$D33),$E$10)))</f>
        <v/>
      </c>
      <c r="I33" s="56">
        <f>IF($C33="","",IF(OR($F33="🧹 OUT",$F33="🔁 B2B"),'DINH MUC'!$C$3,IF($F33="🔑 ARR",'DINH MUC'!$C$11,'DINH MUC'!$C$5)))</f>
        <v/>
      </c>
      <c r="J33" s="46" t="n">
        <v>2</v>
      </c>
      <c r="K33" s="55">
        <f>IF($C33="","",MAX($G33,_xlfn.MAXIFS($L$15:$L32,$J$15:$J32,$J33)))</f>
        <v/>
      </c>
      <c r="L33" s="55">
        <f>IF($C33="","",$K33+$I33/1440)</f>
        <v/>
      </c>
      <c r="M33" s="57">
        <f>IF($C33="","",ROUND(($H33-$L33)*1440,0))</f>
        <v/>
      </c>
      <c r="N33" s="53">
        <f>IF($C33="","",IF($M33&lt;0,"🔴 Không kịp",IF($M33&lt;'DINH MUC'!$C$14,"🟠 Sát giờ",IF($M33&lt;'DINH MUC'!$C$15,"🟡 Chú ý","🟢 Kịp"))))</f>
        <v/>
      </c>
      <c r="O33" s="55">
        <f>IF($C33="","",$H33-$I33/1440)</f>
        <v/>
      </c>
    </row>
    <row r="34">
      <c r="B34" s="53" t="n">
        <v>19</v>
      </c>
      <c r="C34" s="54" t="inlineStr">
        <is>
          <t>803</t>
        </is>
      </c>
      <c r="D34" s="47" t="n">
        <v>0.4166666666666667</v>
      </c>
      <c r="E34" s="47" t="n">
        <v>0.5833333333333334</v>
      </c>
      <c r="F34" s="53">
        <f>IF($C34="","",IF(AND($D34&lt;&gt;"",$E34&lt;&gt;""),"🔁 B2B",IF($D34&lt;&gt;"","🧹 OUT",IF($E34&lt;&gt;"","🔑 ARR","🛏 Inhouse"))))</f>
        <v/>
      </c>
      <c r="G34" s="55">
        <f>IF($C34="","",IF(OR($F34="🧹 OUT",$F34="🔁 B2B"),MAX($D34,$E$8),$E$8))</f>
        <v/>
      </c>
      <c r="H34" s="55">
        <f>IF($C34="","",IF($E34&lt;&gt;"",$E34,IF($F34="🧹 OUT",MAX($E$9,$D34),$E$10)))</f>
        <v/>
      </c>
      <c r="I34" s="56">
        <f>IF($C34="","",IF(OR($F34="🧹 OUT",$F34="🔁 B2B"),'DINH MUC'!$C$3,IF($F34="🔑 ARR",'DINH MUC'!$C$11,'DINH MUC'!$C$5)))</f>
        <v/>
      </c>
      <c r="J34" s="46" t="n">
        <v>1</v>
      </c>
      <c r="K34" s="55">
        <f>IF($C34="","",MAX($G34,_xlfn.MAXIFS($L$15:$L33,$J$15:$J33,$J34)))</f>
        <v/>
      </c>
      <c r="L34" s="55">
        <f>IF($C34="","",$K34+$I34/1440)</f>
        <v/>
      </c>
      <c r="M34" s="57">
        <f>IF($C34="","",ROUND(($H34-$L34)*1440,0))</f>
        <v/>
      </c>
      <c r="N34" s="53">
        <f>IF($C34="","",IF($M34&lt;0,"🔴 Không kịp",IF($M34&lt;'DINH MUC'!$C$14,"🟠 Sát giờ",IF($M34&lt;'DINH MUC'!$C$15,"🟡 Chú ý","🟢 Kịp"))))</f>
        <v/>
      </c>
      <c r="O34" s="55">
        <f>IF($C34="","",$H34-$I34/1440)</f>
        <v/>
      </c>
    </row>
    <row r="35">
      <c r="B35" s="53" t="n">
        <v>20</v>
      </c>
      <c r="C35" s="54" t="inlineStr">
        <is>
          <t>902</t>
        </is>
      </c>
      <c r="D35" s="47" t="n">
        <v>0.4166666666666667</v>
      </c>
      <c r="E35" s="47" t="n">
        <v>0.5833333333333334</v>
      </c>
      <c r="F35" s="53">
        <f>IF($C35="","",IF(AND($D35&lt;&gt;"",$E35&lt;&gt;""),"🔁 B2B",IF($D35&lt;&gt;"","🧹 OUT",IF($E35&lt;&gt;"","🔑 ARR","🛏 Inhouse"))))</f>
        <v/>
      </c>
      <c r="G35" s="55">
        <f>IF($C35="","",IF(OR($F35="🧹 OUT",$F35="🔁 B2B"),MAX($D35,$E$8),$E$8))</f>
        <v/>
      </c>
      <c r="H35" s="55">
        <f>IF($C35="","",IF($E35&lt;&gt;"",$E35,IF($F35="🧹 OUT",MAX($E$9,$D35),$E$10)))</f>
        <v/>
      </c>
      <c r="I35" s="56">
        <f>IF($C35="","",IF(OR($F35="🧹 OUT",$F35="🔁 B2B"),'DINH MUC'!$C$3,IF($F35="🔑 ARR",'DINH MUC'!$C$11,'DINH MUC'!$C$5)))</f>
        <v/>
      </c>
      <c r="J35" s="46" t="n">
        <v>2</v>
      </c>
      <c r="K35" s="55">
        <f>IF($C35="","",MAX($G35,_xlfn.MAXIFS($L$15:$L34,$J$15:$J34,$J35)))</f>
        <v/>
      </c>
      <c r="L35" s="55">
        <f>IF($C35="","",$K35+$I35/1440)</f>
        <v/>
      </c>
      <c r="M35" s="57">
        <f>IF($C35="","",ROUND(($H35-$L35)*1440,0))</f>
        <v/>
      </c>
      <c r="N35" s="53">
        <f>IF($C35="","",IF($M35&lt;0,"🔴 Không kịp",IF($M35&lt;'DINH MUC'!$C$14,"🟠 Sát giờ",IF($M35&lt;'DINH MUC'!$C$15,"🟡 Chú ý","🟢 Kịp"))))</f>
        <v/>
      </c>
      <c r="O35" s="55">
        <f>IF($C35="","",$H35-$I35/1440)</f>
        <v/>
      </c>
    </row>
    <row r="36">
      <c r="B36" s="53" t="n">
        <v>21</v>
      </c>
      <c r="C36" s="54" t="inlineStr">
        <is>
          <t>903</t>
        </is>
      </c>
      <c r="D36" s="47" t="n">
        <v>0.4166666666666667</v>
      </c>
      <c r="E36" s="47" t="n">
        <v>0.5833333333333334</v>
      </c>
      <c r="F36" s="53">
        <f>IF($C36="","",IF(AND($D36&lt;&gt;"",$E36&lt;&gt;""),"🔁 B2B",IF($D36&lt;&gt;"","🧹 OUT",IF($E36&lt;&gt;"","🔑 ARR","🛏 Inhouse"))))</f>
        <v/>
      </c>
      <c r="G36" s="55">
        <f>IF($C36="","",IF(OR($F36="🧹 OUT",$F36="🔁 B2B"),MAX($D36,$E$8),$E$8))</f>
        <v/>
      </c>
      <c r="H36" s="55">
        <f>IF($C36="","",IF($E36&lt;&gt;"",$E36,IF($F36="🧹 OUT",MAX($E$9,$D36),$E$10)))</f>
        <v/>
      </c>
      <c r="I36" s="56">
        <f>IF($C36="","",IF(OR($F36="🧹 OUT",$F36="🔁 B2B"),'DINH MUC'!$C$3,IF($F36="🔑 ARR",'DINH MUC'!$C$11,'DINH MUC'!$C$5)))</f>
        <v/>
      </c>
      <c r="J36" s="46" t="n">
        <v>1</v>
      </c>
      <c r="K36" s="55">
        <f>IF($C36="","",MAX($G36,_xlfn.MAXIFS($L$15:$L35,$J$15:$J35,$J36)))</f>
        <v/>
      </c>
      <c r="L36" s="55">
        <f>IF($C36="","",$K36+$I36/1440)</f>
        <v/>
      </c>
      <c r="M36" s="57">
        <f>IF($C36="","",ROUND(($H36-$L36)*1440,0))</f>
        <v/>
      </c>
      <c r="N36" s="53">
        <f>IF($C36="","",IF($M36&lt;0,"🔴 Không kịp",IF($M36&lt;'DINH MUC'!$C$14,"🟠 Sát giờ",IF($M36&lt;'DINH MUC'!$C$15,"🟡 Chú ý","🟢 Kịp"))))</f>
        <v/>
      </c>
      <c r="O36" s="55">
        <f>IF($C36="","",$H36-$I36/1440)</f>
        <v/>
      </c>
    </row>
    <row r="37">
      <c r="B37" s="53" t="n">
        <v>22</v>
      </c>
      <c r="C37" s="54" t="inlineStr">
        <is>
          <t>1003</t>
        </is>
      </c>
      <c r="D37" s="47" t="n">
        <v>0.4166666666666667</v>
      </c>
      <c r="E37" s="47" t="n"/>
      <c r="F37" s="53">
        <f>IF($C37="","",IF(AND($D37&lt;&gt;"",$E37&lt;&gt;""),"🔁 B2B",IF($D37&lt;&gt;"","🧹 OUT",IF($E37&lt;&gt;"","🔑 ARR","🛏 Inhouse"))))</f>
        <v/>
      </c>
      <c r="G37" s="55">
        <f>IF($C37="","",IF(OR($F37="🧹 OUT",$F37="🔁 B2B"),MAX($D37,$E$8),$E$8))</f>
        <v/>
      </c>
      <c r="H37" s="55">
        <f>IF($C37="","",IF($E37&lt;&gt;"",$E37,IF($F37="🧹 OUT",MAX($E$9,$D37),$E$10)))</f>
        <v/>
      </c>
      <c r="I37" s="56">
        <f>IF($C37="","",IF(OR($F37="🧹 OUT",$F37="🔁 B2B"),'DINH MUC'!$C$3,IF($F37="🔑 ARR",'DINH MUC'!$C$11,'DINH MUC'!$C$5)))</f>
        <v/>
      </c>
      <c r="J37" s="46" t="n">
        <v>2</v>
      </c>
      <c r="K37" s="55">
        <f>IF($C37="","",MAX($G37,_xlfn.MAXIFS($L$15:$L36,$J$15:$J36,$J37)))</f>
        <v/>
      </c>
      <c r="L37" s="55">
        <f>IF($C37="","",$K37+$I37/1440)</f>
        <v/>
      </c>
      <c r="M37" s="57">
        <f>IF($C37="","",ROUND(($H37-$L37)*1440,0))</f>
        <v/>
      </c>
      <c r="N37" s="53">
        <f>IF($C37="","",IF($M37&lt;0,"🔴 Không kịp",IF($M37&lt;'DINH MUC'!$C$14,"🟠 Sát giờ",IF($M37&lt;'DINH MUC'!$C$15,"🟡 Chú ý","🟢 Kịp"))))</f>
        <v/>
      </c>
      <c r="O37" s="55">
        <f>IF($C37="","",$H37-$I37/1440)</f>
        <v/>
      </c>
    </row>
    <row r="38">
      <c r="B38" s="53" t="n">
        <v>23</v>
      </c>
      <c r="C38" s="54" t="inlineStr">
        <is>
          <t>1006</t>
        </is>
      </c>
      <c r="D38" s="47" t="n">
        <v>0.4166666666666667</v>
      </c>
      <c r="E38" s="47" t="n"/>
      <c r="F38" s="53">
        <f>IF($C38="","",IF(AND($D38&lt;&gt;"",$E38&lt;&gt;""),"🔁 B2B",IF($D38&lt;&gt;"","🧹 OUT",IF($E38&lt;&gt;"","🔑 ARR","🛏 Inhouse"))))</f>
        <v/>
      </c>
      <c r="G38" s="55">
        <f>IF($C38="","",IF(OR($F38="🧹 OUT",$F38="🔁 B2B"),MAX($D38,$E$8),$E$8))</f>
        <v/>
      </c>
      <c r="H38" s="55">
        <f>IF($C38="","",IF($E38&lt;&gt;"",$E38,IF($F38="🧹 OUT",MAX($E$9,$D38),$E$10)))</f>
        <v/>
      </c>
      <c r="I38" s="56">
        <f>IF($C38="","",IF(OR($F38="🧹 OUT",$F38="🔁 B2B"),'DINH MUC'!$C$3,IF($F38="🔑 ARR",'DINH MUC'!$C$11,'DINH MUC'!$C$5)))</f>
        <v/>
      </c>
      <c r="J38" s="46" t="n">
        <v>1</v>
      </c>
      <c r="K38" s="55">
        <f>IF($C38="","",MAX($G38,_xlfn.MAXIFS($L$15:$L37,$J$15:$J37,$J38)))</f>
        <v/>
      </c>
      <c r="L38" s="55">
        <f>IF($C38="","",$K38+$I38/1440)</f>
        <v/>
      </c>
      <c r="M38" s="57">
        <f>IF($C38="","",ROUND(($H38-$L38)*1440,0))</f>
        <v/>
      </c>
      <c r="N38" s="53">
        <f>IF($C38="","",IF($M38&lt;0,"🔴 Không kịp",IF($M38&lt;'DINH MUC'!$C$14,"🟠 Sát giờ",IF($M38&lt;'DINH MUC'!$C$15,"🟡 Chú ý","🟢 Kịp"))))</f>
        <v/>
      </c>
      <c r="O38" s="55">
        <f>IF($C38="","",$H38-$I38/1440)</f>
        <v/>
      </c>
    </row>
    <row r="39">
      <c r="B39" s="53" t="n">
        <v>24</v>
      </c>
      <c r="C39" s="54" t="inlineStr">
        <is>
          <t>302</t>
        </is>
      </c>
      <c r="D39" s="47" t="n">
        <v>0.375</v>
      </c>
      <c r="E39" s="47" t="n">
        <v>0.625</v>
      </c>
      <c r="F39" s="53">
        <f>IF($C39="","",IF(AND($D39&lt;&gt;"",$E39&lt;&gt;""),"🔁 B2B",IF($D39&lt;&gt;"","🧹 OUT",IF($E39&lt;&gt;"","🔑 ARR","🛏 Inhouse"))))</f>
        <v/>
      </c>
      <c r="G39" s="55">
        <f>IF($C39="","",IF(OR($F39="🧹 OUT",$F39="🔁 B2B"),MAX($D39,$E$8),$E$8))</f>
        <v/>
      </c>
      <c r="H39" s="55">
        <f>IF($C39="","",IF($E39&lt;&gt;"",$E39,IF($F39="🧹 OUT",MAX($E$9,$D39),$E$10)))</f>
        <v/>
      </c>
      <c r="I39" s="56">
        <f>IF($C39="","",IF(OR($F39="🧹 OUT",$F39="🔁 B2B"),'DINH MUC'!$C$3,IF($F39="🔑 ARR",'DINH MUC'!$C$11,'DINH MUC'!$C$5)))</f>
        <v/>
      </c>
      <c r="J39" s="46" t="n">
        <v>2</v>
      </c>
      <c r="K39" s="55">
        <f>IF($C39="","",MAX($G39,_xlfn.MAXIFS($L$15:$L38,$J$15:$J38,$J39)))</f>
        <v/>
      </c>
      <c r="L39" s="55">
        <f>IF($C39="","",$K39+$I39/1440)</f>
        <v/>
      </c>
      <c r="M39" s="57">
        <f>IF($C39="","",ROUND(($H39-$L39)*1440,0))</f>
        <v/>
      </c>
      <c r="N39" s="53">
        <f>IF($C39="","",IF($M39&lt;0,"🔴 Không kịp",IF($M39&lt;'DINH MUC'!$C$14,"🟠 Sát giờ",IF($M39&lt;'DINH MUC'!$C$15,"🟡 Chú ý","🟢 Kịp"))))</f>
        <v/>
      </c>
      <c r="O39" s="55">
        <f>IF($C39="","",$H39-$I39/1440)</f>
        <v/>
      </c>
    </row>
    <row r="40">
      <c r="B40" s="53" t="n">
        <v>25</v>
      </c>
      <c r="C40" s="54" t="inlineStr">
        <is>
          <t>202</t>
        </is>
      </c>
      <c r="D40" s="47" t="n">
        <v>0.5</v>
      </c>
      <c r="E40" s="47" t="n">
        <v>0.5833333333333334</v>
      </c>
      <c r="F40" s="53">
        <f>IF($C40="","",IF(AND($D40&lt;&gt;"",$E40&lt;&gt;""),"🔁 B2B",IF($D40&lt;&gt;"","🧹 OUT",IF($E40&lt;&gt;"","🔑 ARR","🛏 Inhouse"))))</f>
        <v/>
      </c>
      <c r="G40" s="55">
        <f>IF($C40="","",IF(OR($F40="🧹 OUT",$F40="🔁 B2B"),MAX($D40,$E$8),$E$8))</f>
        <v/>
      </c>
      <c r="H40" s="55">
        <f>IF($C40="","",IF($E40&lt;&gt;"",$E40,IF($F40="🧹 OUT",MAX($E$9,$D40),$E$10)))</f>
        <v/>
      </c>
      <c r="I40" s="56">
        <f>IF($C40="","",IF(OR($F40="🧹 OUT",$F40="🔁 B2B"),'DINH MUC'!$C$3,IF($F40="🔑 ARR",'DINH MUC'!$C$11,'DINH MUC'!$C$5)))</f>
        <v/>
      </c>
      <c r="J40" s="46" t="n">
        <v>1</v>
      </c>
      <c r="K40" s="55">
        <f>IF($C40="","",MAX($G40,_xlfn.MAXIFS($L$15:$L39,$J$15:$J39,$J40)))</f>
        <v/>
      </c>
      <c r="L40" s="55">
        <f>IF($C40="","",$K40+$I40/1440)</f>
        <v/>
      </c>
      <c r="M40" s="57">
        <f>IF($C40="","",ROUND(($H40-$L40)*1440,0))</f>
        <v/>
      </c>
      <c r="N40" s="53">
        <f>IF($C40="","",IF($M40&lt;0,"🔴 Không kịp",IF($M40&lt;'DINH MUC'!$C$14,"🟠 Sát giờ",IF($M40&lt;'DINH MUC'!$C$15,"🟡 Chú ý","🟢 Kịp"))))</f>
        <v/>
      </c>
      <c r="O40" s="55">
        <f>IF($C40="","",$H40-$I40/1440)</f>
        <v/>
      </c>
    </row>
    <row r="41">
      <c r="B41" s="53" t="n">
        <v>26</v>
      </c>
      <c r="C41" s="54" t="inlineStr">
        <is>
          <t>301</t>
        </is>
      </c>
      <c r="D41" s="47" t="n">
        <v>0.5</v>
      </c>
      <c r="E41" s="47" t="n">
        <v>0.5833333333333334</v>
      </c>
      <c r="F41" s="53">
        <f>IF($C41="","",IF(AND($D41&lt;&gt;"",$E41&lt;&gt;""),"🔁 B2B",IF($D41&lt;&gt;"","🧹 OUT",IF($E41&lt;&gt;"","🔑 ARR","🛏 Inhouse"))))</f>
        <v/>
      </c>
      <c r="G41" s="55">
        <f>IF($C41="","",IF(OR($F41="🧹 OUT",$F41="🔁 B2B"),MAX($D41,$E$8),$E$8))</f>
        <v/>
      </c>
      <c r="H41" s="55">
        <f>IF($C41="","",IF($E41&lt;&gt;"",$E41,IF($F41="🧹 OUT",MAX($E$9,$D41),$E$10)))</f>
        <v/>
      </c>
      <c r="I41" s="56">
        <f>IF($C41="","",IF(OR($F41="🧹 OUT",$F41="🔁 B2B"),'DINH MUC'!$C$3,IF($F41="🔑 ARR",'DINH MUC'!$C$11,'DINH MUC'!$C$5)))</f>
        <v/>
      </c>
      <c r="J41" s="46" t="n">
        <v>2</v>
      </c>
      <c r="K41" s="55">
        <f>IF($C41="","",MAX($G41,_xlfn.MAXIFS($L$15:$L40,$J$15:$J40,$J41)))</f>
        <v/>
      </c>
      <c r="L41" s="55">
        <f>IF($C41="","",$K41+$I41/1440)</f>
        <v/>
      </c>
      <c r="M41" s="57">
        <f>IF($C41="","",ROUND(($H41-$L41)*1440,0))</f>
        <v/>
      </c>
      <c r="N41" s="53">
        <f>IF($C41="","",IF($M41&lt;0,"🔴 Không kịp",IF($M41&lt;'DINH MUC'!$C$14,"🟠 Sát giờ",IF($M41&lt;'DINH MUC'!$C$15,"🟡 Chú ý","🟢 Kịp"))))</f>
        <v/>
      </c>
      <c r="O41" s="55">
        <f>IF($C41="","",$H41-$I41/1440)</f>
        <v/>
      </c>
    </row>
    <row r="42">
      <c r="B42" s="53" t="n">
        <v>27</v>
      </c>
      <c r="C42" s="54" t="inlineStr">
        <is>
          <t>304</t>
        </is>
      </c>
      <c r="D42" s="47" t="n">
        <v>0.5</v>
      </c>
      <c r="E42" s="47" t="n"/>
      <c r="F42" s="53">
        <f>IF($C42="","",IF(AND($D42&lt;&gt;"",$E42&lt;&gt;""),"🔁 B2B",IF($D42&lt;&gt;"","🧹 OUT",IF($E42&lt;&gt;"","🔑 ARR","🛏 Inhouse"))))</f>
        <v/>
      </c>
      <c r="G42" s="55">
        <f>IF($C42="","",IF(OR($F42="🧹 OUT",$F42="🔁 B2B"),MAX($D42,$E$8),$E$8))</f>
        <v/>
      </c>
      <c r="H42" s="55">
        <f>IF($C42="","",IF($E42&lt;&gt;"",$E42,IF($F42="🧹 OUT",MAX($E$9,$D42),$E$10)))</f>
        <v/>
      </c>
      <c r="I42" s="56">
        <f>IF($C42="","",IF(OR($F42="🧹 OUT",$F42="🔁 B2B"),'DINH MUC'!$C$3,IF($F42="🔑 ARR",'DINH MUC'!$C$11,'DINH MUC'!$C$5)))</f>
        <v/>
      </c>
      <c r="J42" s="46" t="n">
        <v>1</v>
      </c>
      <c r="K42" s="55">
        <f>IF($C42="","",MAX($G42,_xlfn.MAXIFS($L$15:$L41,$J$15:$J41,$J42)))</f>
        <v/>
      </c>
      <c r="L42" s="55">
        <f>IF($C42="","",$K42+$I42/1440)</f>
        <v/>
      </c>
      <c r="M42" s="57">
        <f>IF($C42="","",ROUND(($H42-$L42)*1440,0))</f>
        <v/>
      </c>
      <c r="N42" s="53">
        <f>IF($C42="","",IF($M42&lt;0,"🔴 Không kịp",IF($M42&lt;'DINH MUC'!$C$14,"🟠 Sát giờ",IF($M42&lt;'DINH MUC'!$C$15,"🟡 Chú ý","🟢 Kịp"))))</f>
        <v/>
      </c>
      <c r="O42" s="55">
        <f>IF($C42="","",$H42-$I42/1440)</f>
        <v/>
      </c>
    </row>
    <row r="43">
      <c r="B43" s="53" t="n">
        <v>28</v>
      </c>
      <c r="C43" s="54" t="inlineStr">
        <is>
          <t>306</t>
        </is>
      </c>
      <c r="D43" s="47" t="n">
        <v>0.5</v>
      </c>
      <c r="E43" s="47" t="n"/>
      <c r="F43" s="53">
        <f>IF($C43="","",IF(AND($D43&lt;&gt;"",$E43&lt;&gt;""),"🔁 B2B",IF($D43&lt;&gt;"","🧹 OUT",IF($E43&lt;&gt;"","🔑 ARR","🛏 Inhouse"))))</f>
        <v/>
      </c>
      <c r="G43" s="55">
        <f>IF($C43="","",IF(OR($F43="🧹 OUT",$F43="🔁 B2B"),MAX($D43,$E$8),$E$8))</f>
        <v/>
      </c>
      <c r="H43" s="55">
        <f>IF($C43="","",IF($E43&lt;&gt;"",$E43,IF($F43="🧹 OUT",MAX($E$9,$D43),$E$10)))</f>
        <v/>
      </c>
      <c r="I43" s="56">
        <f>IF($C43="","",IF(OR($F43="🧹 OUT",$F43="🔁 B2B"),'DINH MUC'!$C$3,IF($F43="🔑 ARR",'DINH MUC'!$C$11,'DINH MUC'!$C$5)))</f>
        <v/>
      </c>
      <c r="J43" s="46" t="n">
        <v>2</v>
      </c>
      <c r="K43" s="55">
        <f>IF($C43="","",MAX($G43,_xlfn.MAXIFS($L$15:$L42,$J$15:$J42,$J43)))</f>
        <v/>
      </c>
      <c r="L43" s="55">
        <f>IF($C43="","",$K43+$I43/1440)</f>
        <v/>
      </c>
      <c r="M43" s="57">
        <f>IF($C43="","",ROUND(($H43-$L43)*1440,0))</f>
        <v/>
      </c>
      <c r="N43" s="53">
        <f>IF($C43="","",IF($M43&lt;0,"🔴 Không kịp",IF($M43&lt;'DINH MUC'!$C$14,"🟠 Sát giờ",IF($M43&lt;'DINH MUC'!$C$15,"🟡 Chú ý","🟢 Kịp"))))</f>
        <v/>
      </c>
      <c r="O43" s="55">
        <f>IF($C43="","",$H43-$I43/1440)</f>
        <v/>
      </c>
    </row>
    <row r="44">
      <c r="B44" s="53" t="n">
        <v>29</v>
      </c>
      <c r="C44" s="54" t="inlineStr">
        <is>
          <t>405</t>
        </is>
      </c>
      <c r="D44" s="47" t="n">
        <v>0.5</v>
      </c>
      <c r="E44" s="47" t="n"/>
      <c r="F44" s="53">
        <f>IF($C44="","",IF(AND($D44&lt;&gt;"",$E44&lt;&gt;""),"🔁 B2B",IF($D44&lt;&gt;"","🧹 OUT",IF($E44&lt;&gt;"","🔑 ARR","🛏 Inhouse"))))</f>
        <v/>
      </c>
      <c r="G44" s="55">
        <f>IF($C44="","",IF(OR($F44="🧹 OUT",$F44="🔁 B2B"),MAX($D44,$E$8),$E$8))</f>
        <v/>
      </c>
      <c r="H44" s="55">
        <f>IF($C44="","",IF($E44&lt;&gt;"",$E44,IF($F44="🧹 OUT",MAX($E$9,$D44),$E$10)))</f>
        <v/>
      </c>
      <c r="I44" s="56">
        <f>IF($C44="","",IF(OR($F44="🧹 OUT",$F44="🔁 B2B"),'DINH MUC'!$C$3,IF($F44="🔑 ARR",'DINH MUC'!$C$11,'DINH MUC'!$C$5)))</f>
        <v/>
      </c>
      <c r="J44" s="46" t="n">
        <v>1</v>
      </c>
      <c r="K44" s="55">
        <f>IF($C44="","",MAX($G44,_xlfn.MAXIFS($L$15:$L43,$J$15:$J43,$J44)))</f>
        <v/>
      </c>
      <c r="L44" s="55">
        <f>IF($C44="","",$K44+$I44/1440)</f>
        <v/>
      </c>
      <c r="M44" s="57">
        <f>IF($C44="","",ROUND(($H44-$L44)*1440,0))</f>
        <v/>
      </c>
      <c r="N44" s="53">
        <f>IF($C44="","",IF($M44&lt;0,"🔴 Không kịp",IF($M44&lt;'DINH MUC'!$C$14,"🟠 Sát giờ",IF($M44&lt;'DINH MUC'!$C$15,"🟡 Chú ý","🟢 Kịp"))))</f>
        <v/>
      </c>
      <c r="O44" s="55">
        <f>IF($C44="","",$H44-$I44/1440)</f>
        <v/>
      </c>
    </row>
    <row r="45">
      <c r="B45" s="53" t="n">
        <v>30</v>
      </c>
      <c r="C45" s="54" t="inlineStr">
        <is>
          <t>501</t>
        </is>
      </c>
      <c r="D45" s="47" t="n">
        <v>0.5</v>
      </c>
      <c r="E45" s="47" t="n">
        <v>0.5833333333333334</v>
      </c>
      <c r="F45" s="53">
        <f>IF($C45="","",IF(AND($D45&lt;&gt;"",$E45&lt;&gt;""),"🔁 B2B",IF($D45&lt;&gt;"","🧹 OUT",IF($E45&lt;&gt;"","🔑 ARR","🛏 Inhouse"))))</f>
        <v/>
      </c>
      <c r="G45" s="55">
        <f>IF($C45="","",IF(OR($F45="🧹 OUT",$F45="🔁 B2B"),MAX($D45,$E$8),$E$8))</f>
        <v/>
      </c>
      <c r="H45" s="55">
        <f>IF($C45="","",IF($E45&lt;&gt;"",$E45,IF($F45="🧹 OUT",MAX($E$9,$D45),$E$10)))</f>
        <v/>
      </c>
      <c r="I45" s="56">
        <f>IF($C45="","",IF(OR($F45="🧹 OUT",$F45="🔁 B2B"),'DINH MUC'!$C$3,IF($F45="🔑 ARR",'DINH MUC'!$C$11,'DINH MUC'!$C$5)))</f>
        <v/>
      </c>
      <c r="J45" s="46" t="n">
        <v>2</v>
      </c>
      <c r="K45" s="55">
        <f>IF($C45="","",MAX($G45,_xlfn.MAXIFS($L$15:$L44,$J$15:$J44,$J45)))</f>
        <v/>
      </c>
      <c r="L45" s="55">
        <f>IF($C45="","",$K45+$I45/1440)</f>
        <v/>
      </c>
      <c r="M45" s="57">
        <f>IF($C45="","",ROUND(($H45-$L45)*1440,0))</f>
        <v/>
      </c>
      <c r="N45" s="53">
        <f>IF($C45="","",IF($M45&lt;0,"🔴 Không kịp",IF($M45&lt;'DINH MUC'!$C$14,"🟠 Sát giờ",IF($M45&lt;'DINH MUC'!$C$15,"🟡 Chú ý","🟢 Kịp"))))</f>
        <v/>
      </c>
      <c r="O45" s="55">
        <f>IF($C45="","",$H45-$I45/1440)</f>
        <v/>
      </c>
    </row>
    <row r="46">
      <c r="B46" s="53" t="n">
        <v>31</v>
      </c>
      <c r="C46" s="54" t="inlineStr">
        <is>
          <t>601</t>
        </is>
      </c>
      <c r="D46" s="47" t="n">
        <v>0.5</v>
      </c>
      <c r="E46" s="47" t="n"/>
      <c r="F46" s="53">
        <f>IF($C46="","",IF(AND($D46&lt;&gt;"",$E46&lt;&gt;""),"🔁 B2B",IF($D46&lt;&gt;"","🧹 OUT",IF($E46&lt;&gt;"","🔑 ARR","🛏 Inhouse"))))</f>
        <v/>
      </c>
      <c r="G46" s="55">
        <f>IF($C46="","",IF(OR($F46="🧹 OUT",$F46="🔁 B2B"),MAX($D46,$E$8),$E$8))</f>
        <v/>
      </c>
      <c r="H46" s="55">
        <f>IF($C46="","",IF($E46&lt;&gt;"",$E46,IF($F46="🧹 OUT",MAX($E$9,$D46),$E$10)))</f>
        <v/>
      </c>
      <c r="I46" s="56">
        <f>IF($C46="","",IF(OR($F46="🧹 OUT",$F46="🔁 B2B"),'DINH MUC'!$C$3,IF($F46="🔑 ARR",'DINH MUC'!$C$11,'DINH MUC'!$C$5)))</f>
        <v/>
      </c>
      <c r="J46" s="46" t="n">
        <v>1</v>
      </c>
      <c r="K46" s="55">
        <f>IF($C46="","",MAX($G46,_xlfn.MAXIFS($L$15:$L45,$J$15:$J45,$J46)))</f>
        <v/>
      </c>
      <c r="L46" s="55">
        <f>IF($C46="","",$K46+$I46/1440)</f>
        <v/>
      </c>
      <c r="M46" s="57">
        <f>IF($C46="","",ROUND(($H46-$L46)*1440,0))</f>
        <v/>
      </c>
      <c r="N46" s="53">
        <f>IF($C46="","",IF($M46&lt;0,"🔴 Không kịp",IF($M46&lt;'DINH MUC'!$C$14,"🟠 Sát giờ",IF($M46&lt;'DINH MUC'!$C$15,"🟡 Chú ý","🟢 Kịp"))))</f>
        <v/>
      </c>
      <c r="O46" s="55">
        <f>IF($C46="","",$H46-$I46/1440)</f>
        <v/>
      </c>
    </row>
    <row r="47">
      <c r="B47" s="53" t="n">
        <v>32</v>
      </c>
      <c r="C47" s="54" t="inlineStr">
        <is>
          <t>606</t>
        </is>
      </c>
      <c r="D47" s="47" t="n">
        <v>0.5</v>
      </c>
      <c r="E47" s="47" t="n"/>
      <c r="F47" s="53">
        <f>IF($C47="","",IF(AND($D47&lt;&gt;"",$E47&lt;&gt;""),"🔁 B2B",IF($D47&lt;&gt;"","🧹 OUT",IF($E47&lt;&gt;"","🔑 ARR","🛏 Inhouse"))))</f>
        <v/>
      </c>
      <c r="G47" s="55">
        <f>IF($C47="","",IF(OR($F47="🧹 OUT",$F47="🔁 B2B"),MAX($D47,$E$8),$E$8))</f>
        <v/>
      </c>
      <c r="H47" s="55">
        <f>IF($C47="","",IF($E47&lt;&gt;"",$E47,IF($F47="🧹 OUT",MAX($E$9,$D47),$E$10)))</f>
        <v/>
      </c>
      <c r="I47" s="56">
        <f>IF($C47="","",IF(OR($F47="🧹 OUT",$F47="🔁 B2B"),'DINH MUC'!$C$3,IF($F47="🔑 ARR",'DINH MUC'!$C$11,'DINH MUC'!$C$5)))</f>
        <v/>
      </c>
      <c r="J47" s="46" t="n">
        <v>2</v>
      </c>
      <c r="K47" s="55">
        <f>IF($C47="","",MAX($G47,_xlfn.MAXIFS($L$15:$L46,$J$15:$J46,$J47)))</f>
        <v/>
      </c>
      <c r="L47" s="55">
        <f>IF($C47="","",$K47+$I47/1440)</f>
        <v/>
      </c>
      <c r="M47" s="57">
        <f>IF($C47="","",ROUND(($H47-$L47)*1440,0))</f>
        <v/>
      </c>
      <c r="N47" s="53">
        <f>IF($C47="","",IF($M47&lt;0,"🔴 Không kịp",IF($M47&lt;'DINH MUC'!$C$14,"🟠 Sát giờ",IF($M47&lt;'DINH MUC'!$C$15,"🟡 Chú ý","🟢 Kịp"))))</f>
        <v/>
      </c>
      <c r="O47" s="55">
        <f>IF($C47="","",$H47-$I47/1440)</f>
        <v/>
      </c>
    </row>
    <row r="48">
      <c r="B48" s="53" t="n">
        <v>33</v>
      </c>
      <c r="C48" s="54" t="inlineStr">
        <is>
          <t>701</t>
        </is>
      </c>
      <c r="D48" s="47" t="n">
        <v>0.5</v>
      </c>
      <c r="E48" s="47" t="n"/>
      <c r="F48" s="53">
        <f>IF($C48="","",IF(AND($D48&lt;&gt;"",$E48&lt;&gt;""),"🔁 B2B",IF($D48&lt;&gt;"","🧹 OUT",IF($E48&lt;&gt;"","🔑 ARR","🛏 Inhouse"))))</f>
        <v/>
      </c>
      <c r="G48" s="55">
        <f>IF($C48="","",IF(OR($F48="🧹 OUT",$F48="🔁 B2B"),MAX($D48,$E$8),$E$8))</f>
        <v/>
      </c>
      <c r="H48" s="55">
        <f>IF($C48="","",IF($E48&lt;&gt;"",$E48,IF($F48="🧹 OUT",MAX($E$9,$D48),$E$10)))</f>
        <v/>
      </c>
      <c r="I48" s="56">
        <f>IF($C48="","",IF(OR($F48="🧹 OUT",$F48="🔁 B2B"),'DINH MUC'!$C$3,IF($F48="🔑 ARR",'DINH MUC'!$C$11,'DINH MUC'!$C$5)))</f>
        <v/>
      </c>
      <c r="J48" s="46" t="n">
        <v>1</v>
      </c>
      <c r="K48" s="55">
        <f>IF($C48="","",MAX($G48,_xlfn.MAXIFS($L$15:$L47,$J$15:$J47,$J48)))</f>
        <v/>
      </c>
      <c r="L48" s="55">
        <f>IF($C48="","",$K48+$I48/1440)</f>
        <v/>
      </c>
      <c r="M48" s="57">
        <f>IF($C48="","",ROUND(($H48-$L48)*1440,0))</f>
        <v/>
      </c>
      <c r="N48" s="53">
        <f>IF($C48="","",IF($M48&lt;0,"🔴 Không kịp",IF($M48&lt;'DINH MUC'!$C$14,"🟠 Sát giờ",IF($M48&lt;'DINH MUC'!$C$15,"🟡 Chú ý","🟢 Kịp"))))</f>
        <v/>
      </c>
      <c r="O48" s="55">
        <f>IF($C48="","",$H48-$I48/1440)</f>
        <v/>
      </c>
    </row>
    <row r="49">
      <c r="B49" s="53" t="n">
        <v>34</v>
      </c>
      <c r="C49" s="54" t="inlineStr">
        <is>
          <t>705</t>
        </is>
      </c>
      <c r="D49" s="47" t="n">
        <v>0.5</v>
      </c>
      <c r="E49" s="47" t="n"/>
      <c r="F49" s="53">
        <f>IF($C49="","",IF(AND($D49&lt;&gt;"",$E49&lt;&gt;""),"🔁 B2B",IF($D49&lt;&gt;"","🧹 OUT",IF($E49&lt;&gt;"","🔑 ARR","🛏 Inhouse"))))</f>
        <v/>
      </c>
      <c r="G49" s="55">
        <f>IF($C49="","",IF(OR($F49="🧹 OUT",$F49="🔁 B2B"),MAX($D49,$E$8),$E$8))</f>
        <v/>
      </c>
      <c r="H49" s="55">
        <f>IF($C49="","",IF($E49&lt;&gt;"",$E49,IF($F49="🧹 OUT",MAX($E$9,$D49),$E$10)))</f>
        <v/>
      </c>
      <c r="I49" s="56">
        <f>IF($C49="","",IF(OR($F49="🧹 OUT",$F49="🔁 B2B"),'DINH MUC'!$C$3,IF($F49="🔑 ARR",'DINH MUC'!$C$11,'DINH MUC'!$C$5)))</f>
        <v/>
      </c>
      <c r="J49" s="46" t="n">
        <v>2</v>
      </c>
      <c r="K49" s="55">
        <f>IF($C49="","",MAX($G49,_xlfn.MAXIFS($L$15:$L48,$J$15:$J48,$J49)))</f>
        <v/>
      </c>
      <c r="L49" s="55">
        <f>IF($C49="","",$K49+$I49/1440)</f>
        <v/>
      </c>
      <c r="M49" s="57">
        <f>IF($C49="","",ROUND(($H49-$L49)*1440,0))</f>
        <v/>
      </c>
      <c r="N49" s="53">
        <f>IF($C49="","",IF($M49&lt;0,"🔴 Không kịp",IF($M49&lt;'DINH MUC'!$C$14,"🟠 Sát giờ",IF($M49&lt;'DINH MUC'!$C$15,"🟡 Chú ý","🟢 Kịp"))))</f>
        <v/>
      </c>
      <c r="O49" s="55">
        <f>IF($C49="","",$H49-$I49/1440)</f>
        <v/>
      </c>
    </row>
    <row r="50">
      <c r="B50" s="53" t="n">
        <v>35</v>
      </c>
      <c r="C50" s="54" t="inlineStr">
        <is>
          <t>801</t>
        </is>
      </c>
      <c r="D50" s="47" t="n">
        <v>0.5</v>
      </c>
      <c r="E50" s="47" t="n"/>
      <c r="F50" s="53">
        <f>IF($C50="","",IF(AND($D50&lt;&gt;"",$E50&lt;&gt;""),"🔁 B2B",IF($D50&lt;&gt;"","🧹 OUT",IF($E50&lt;&gt;"","🔑 ARR","🛏 Inhouse"))))</f>
        <v/>
      </c>
      <c r="G50" s="55">
        <f>IF($C50="","",IF(OR($F50="🧹 OUT",$F50="🔁 B2B"),MAX($D50,$E$8),$E$8))</f>
        <v/>
      </c>
      <c r="H50" s="55">
        <f>IF($C50="","",IF($E50&lt;&gt;"",$E50,IF($F50="🧹 OUT",MAX($E$9,$D50),$E$10)))</f>
        <v/>
      </c>
      <c r="I50" s="56">
        <f>IF($C50="","",IF(OR($F50="🧹 OUT",$F50="🔁 B2B"),'DINH MUC'!$C$3,IF($F50="🔑 ARR",'DINH MUC'!$C$11,'DINH MUC'!$C$5)))</f>
        <v/>
      </c>
      <c r="J50" s="46" t="n">
        <v>1</v>
      </c>
      <c r="K50" s="55">
        <f>IF($C50="","",MAX($G50,_xlfn.MAXIFS($L$15:$L49,$J$15:$J49,$J50)))</f>
        <v/>
      </c>
      <c r="L50" s="55">
        <f>IF($C50="","",$K50+$I50/1440)</f>
        <v/>
      </c>
      <c r="M50" s="57">
        <f>IF($C50="","",ROUND(($H50-$L50)*1440,0))</f>
        <v/>
      </c>
      <c r="N50" s="53">
        <f>IF($C50="","",IF($M50&lt;0,"🔴 Không kịp",IF($M50&lt;'DINH MUC'!$C$14,"🟠 Sát giờ",IF($M50&lt;'DINH MUC'!$C$15,"🟡 Chú ý","🟢 Kịp"))))</f>
        <v/>
      </c>
      <c r="O50" s="55">
        <f>IF($C50="","",$H50-$I50/1440)</f>
        <v/>
      </c>
    </row>
    <row r="51">
      <c r="B51" s="53" t="n">
        <v>36</v>
      </c>
      <c r="C51" s="54" t="inlineStr">
        <is>
          <t>901</t>
        </is>
      </c>
      <c r="D51" s="47" t="n">
        <v>0.5</v>
      </c>
      <c r="E51" s="47" t="n"/>
      <c r="F51" s="53">
        <f>IF($C51="","",IF(AND($D51&lt;&gt;"",$E51&lt;&gt;""),"🔁 B2B",IF($D51&lt;&gt;"","🧹 OUT",IF($E51&lt;&gt;"","🔑 ARR","🛏 Inhouse"))))</f>
        <v/>
      </c>
      <c r="G51" s="55">
        <f>IF($C51="","",IF(OR($F51="🧹 OUT",$F51="🔁 B2B"),MAX($D51,$E$8),$E$8))</f>
        <v/>
      </c>
      <c r="H51" s="55">
        <f>IF($C51="","",IF($E51&lt;&gt;"",$E51,IF($F51="🧹 OUT",MAX($E$9,$D51),$E$10)))</f>
        <v/>
      </c>
      <c r="I51" s="56">
        <f>IF($C51="","",IF(OR($F51="🧹 OUT",$F51="🔁 B2B"),'DINH MUC'!$C$3,IF($F51="🔑 ARR",'DINH MUC'!$C$11,'DINH MUC'!$C$5)))</f>
        <v/>
      </c>
      <c r="J51" s="46" t="n">
        <v>2</v>
      </c>
      <c r="K51" s="55">
        <f>IF($C51="","",MAX($G51,_xlfn.MAXIFS($L$15:$L50,$J$15:$J50,$J51)))</f>
        <v/>
      </c>
      <c r="L51" s="55">
        <f>IF($C51="","",$K51+$I51/1440)</f>
        <v/>
      </c>
      <c r="M51" s="57">
        <f>IF($C51="","",ROUND(($H51-$L51)*1440,0))</f>
        <v/>
      </c>
      <c r="N51" s="53">
        <f>IF($C51="","",IF($M51&lt;0,"🔴 Không kịp",IF($M51&lt;'DINH MUC'!$C$14,"🟠 Sát giờ",IF($M51&lt;'DINH MUC'!$C$15,"🟡 Chú ý","🟢 Kịp"))))</f>
        <v/>
      </c>
      <c r="O51" s="55">
        <f>IF($C51="","",$H51-$I51/1440)</f>
        <v/>
      </c>
    </row>
    <row r="52">
      <c r="B52" s="53" t="n">
        <v>37</v>
      </c>
      <c r="C52" s="54" t="inlineStr">
        <is>
          <t>904</t>
        </is>
      </c>
      <c r="D52" s="47" t="n">
        <v>0.5</v>
      </c>
      <c r="E52" s="47" t="n">
        <v>0.5833333333333334</v>
      </c>
      <c r="F52" s="53">
        <f>IF($C52="","",IF(AND($D52&lt;&gt;"",$E52&lt;&gt;""),"🔁 B2B",IF($D52&lt;&gt;"","🧹 OUT",IF($E52&lt;&gt;"","🔑 ARR","🛏 Inhouse"))))</f>
        <v/>
      </c>
      <c r="G52" s="55">
        <f>IF($C52="","",IF(OR($F52="🧹 OUT",$F52="🔁 B2B"),MAX($D52,$E$8),$E$8))</f>
        <v/>
      </c>
      <c r="H52" s="55">
        <f>IF($C52="","",IF($E52&lt;&gt;"",$E52,IF($F52="🧹 OUT",MAX($E$9,$D52),$E$10)))</f>
        <v/>
      </c>
      <c r="I52" s="56">
        <f>IF($C52="","",IF(OR($F52="🧹 OUT",$F52="🔁 B2B"),'DINH MUC'!$C$3,IF($F52="🔑 ARR",'DINH MUC'!$C$11,'DINH MUC'!$C$5)))</f>
        <v/>
      </c>
      <c r="J52" s="46" t="n">
        <v>1</v>
      </c>
      <c r="K52" s="55">
        <f>IF($C52="","",MAX($G52,_xlfn.MAXIFS($L$15:$L51,$J$15:$J51,$J52)))</f>
        <v/>
      </c>
      <c r="L52" s="55">
        <f>IF($C52="","",$K52+$I52/1440)</f>
        <v/>
      </c>
      <c r="M52" s="57">
        <f>IF($C52="","",ROUND(($H52-$L52)*1440,0))</f>
        <v/>
      </c>
      <c r="N52" s="53">
        <f>IF($C52="","",IF($M52&lt;0,"🔴 Không kịp",IF($M52&lt;'DINH MUC'!$C$14,"🟠 Sát giờ",IF($M52&lt;'DINH MUC'!$C$15,"🟡 Chú ý","🟢 Kịp"))))</f>
        <v/>
      </c>
      <c r="O52" s="55">
        <f>IF($C52="","",$H52-$I52/1440)</f>
        <v/>
      </c>
    </row>
    <row r="53">
      <c r="B53" s="53" t="n">
        <v>38</v>
      </c>
      <c r="C53" s="54" t="inlineStr">
        <is>
          <t>1002</t>
        </is>
      </c>
      <c r="D53" s="47" t="n">
        <v>0.5</v>
      </c>
      <c r="E53" s="47" t="n">
        <v>0.5833333333333334</v>
      </c>
      <c r="F53" s="53">
        <f>IF($C53="","",IF(AND($D53&lt;&gt;"",$E53&lt;&gt;""),"🔁 B2B",IF($D53&lt;&gt;"","🧹 OUT",IF($E53&lt;&gt;"","🔑 ARR","🛏 Inhouse"))))</f>
        <v/>
      </c>
      <c r="G53" s="55">
        <f>IF($C53="","",IF(OR($F53="🧹 OUT",$F53="🔁 B2B"),MAX($D53,$E$8),$E$8))</f>
        <v/>
      </c>
      <c r="H53" s="55">
        <f>IF($C53="","",IF($E53&lt;&gt;"",$E53,IF($F53="🧹 OUT",MAX($E$9,$D53),$E$10)))</f>
        <v/>
      </c>
      <c r="I53" s="56">
        <f>IF($C53="","",IF(OR($F53="🧹 OUT",$F53="🔁 B2B"),'DINH MUC'!$C$3,IF($F53="🔑 ARR",'DINH MUC'!$C$11,'DINH MUC'!$C$5)))</f>
        <v/>
      </c>
      <c r="J53" s="46" t="n">
        <v>2</v>
      </c>
      <c r="K53" s="55">
        <f>IF($C53="","",MAX($G53,_xlfn.MAXIFS($L$15:$L52,$J$15:$J52,$J53)))</f>
        <v/>
      </c>
      <c r="L53" s="55">
        <f>IF($C53="","",$K53+$I53/1440)</f>
        <v/>
      </c>
      <c r="M53" s="57">
        <f>IF($C53="","",ROUND(($H53-$L53)*1440,0))</f>
        <v/>
      </c>
      <c r="N53" s="53">
        <f>IF($C53="","",IF($M53&lt;0,"🔴 Không kịp",IF($M53&lt;'DINH MUC'!$C$14,"🟠 Sát giờ",IF($M53&lt;'DINH MUC'!$C$15,"🟡 Chú ý","🟢 Kịp"))))</f>
        <v/>
      </c>
      <c r="O53" s="55">
        <f>IF($C53="","",$H53-$I53/1440)</f>
        <v/>
      </c>
    </row>
    <row r="54">
      <c r="B54" s="53" t="n">
        <v>39</v>
      </c>
      <c r="C54" s="54" t="inlineStr">
        <is>
          <t>1005</t>
        </is>
      </c>
      <c r="D54" s="47" t="n">
        <v>0.5</v>
      </c>
      <c r="E54" s="47" t="n"/>
      <c r="F54" s="53">
        <f>IF($C54="","",IF(AND($D54&lt;&gt;"",$E54&lt;&gt;""),"🔁 B2B",IF($D54&lt;&gt;"","🧹 OUT",IF($E54&lt;&gt;"","🔑 ARR","🛏 Inhouse"))))</f>
        <v/>
      </c>
      <c r="G54" s="55">
        <f>IF($C54="","",IF(OR($F54="🧹 OUT",$F54="🔁 B2B"),MAX($D54,$E$8),$E$8))</f>
        <v/>
      </c>
      <c r="H54" s="55">
        <f>IF($C54="","",IF($E54&lt;&gt;"",$E54,IF($F54="🧹 OUT",MAX($E$9,$D54),$E$10)))</f>
        <v/>
      </c>
      <c r="I54" s="56">
        <f>IF($C54="","",IF(OR($F54="🧹 OUT",$F54="🔁 B2B"),'DINH MUC'!$C$3,IF($F54="🔑 ARR",'DINH MUC'!$C$11,'DINH MUC'!$C$5)))</f>
        <v/>
      </c>
      <c r="J54" s="46" t="n">
        <v>1</v>
      </c>
      <c r="K54" s="55">
        <f>IF($C54="","",MAX($G54,_xlfn.MAXIFS($L$15:$L53,$J$15:$J53,$J54)))</f>
        <v/>
      </c>
      <c r="L54" s="55">
        <f>IF($C54="","",$K54+$I54/1440)</f>
        <v/>
      </c>
      <c r="M54" s="57">
        <f>IF($C54="","",ROUND(($H54-$L54)*1440,0))</f>
        <v/>
      </c>
      <c r="N54" s="53">
        <f>IF($C54="","",IF($M54&lt;0,"🔴 Không kịp",IF($M54&lt;'DINH MUC'!$C$14,"🟠 Sát giờ",IF($M54&lt;'DINH MUC'!$C$15,"🟡 Chú ý","🟢 Kịp"))))</f>
        <v/>
      </c>
      <c r="O54" s="55">
        <f>IF($C54="","",$H54-$I54/1440)</f>
        <v/>
      </c>
    </row>
    <row r="55">
      <c r="B55" s="53" t="n">
        <v>40</v>
      </c>
      <c r="C55" s="54" t="inlineStr">
        <is>
          <t>303</t>
        </is>
      </c>
      <c r="D55" s="47" t="n">
        <v>0.375</v>
      </c>
      <c r="E55" s="47" t="n">
        <v>0.625</v>
      </c>
      <c r="F55" s="53">
        <f>IF($C55="","",IF(AND($D55&lt;&gt;"",$E55&lt;&gt;""),"🔁 B2B",IF($D55&lt;&gt;"","🧹 OUT",IF($E55&lt;&gt;"","🔑 ARR","🛏 Inhouse"))))</f>
        <v/>
      </c>
      <c r="G55" s="55">
        <f>IF($C55="","",IF(OR($F55="🧹 OUT",$F55="🔁 B2B"),MAX($D55,$E$8),$E$8))</f>
        <v/>
      </c>
      <c r="H55" s="55">
        <f>IF($C55="","",IF($E55&lt;&gt;"",$E55,IF($F55="🧹 OUT",MAX($E$9,$D55),$E$10)))</f>
        <v/>
      </c>
      <c r="I55" s="56">
        <f>IF($C55="","",IF(OR($F55="🧹 OUT",$F55="🔁 B2B"),'DINH MUC'!$C$3,IF($F55="🔑 ARR",'DINH MUC'!$C$11,'DINH MUC'!$C$5)))</f>
        <v/>
      </c>
      <c r="J55" s="46" t="n">
        <v>2</v>
      </c>
      <c r="K55" s="55">
        <f>IF($C55="","",MAX($G55,_xlfn.MAXIFS($L$15:$L54,$J$15:$J54,$J55)))</f>
        <v/>
      </c>
      <c r="L55" s="55">
        <f>IF($C55="","",$K55+$I55/1440)</f>
        <v/>
      </c>
      <c r="M55" s="57">
        <f>IF($C55="","",ROUND(($H55-$L55)*1440,0))</f>
        <v/>
      </c>
      <c r="N55" s="53">
        <f>IF($C55="","",IF($M55&lt;0,"🔴 Không kịp",IF($M55&lt;'DINH MUC'!$C$14,"🟠 Sát giờ",IF($M55&lt;'DINH MUC'!$C$15,"🟡 Chú ý","🟢 Kịp"))))</f>
        <v/>
      </c>
      <c r="O55" s="55">
        <f>IF($C55="","",$H55-$I55/1440)</f>
        <v/>
      </c>
    </row>
    <row r="56">
      <c r="B56" s="53" t="n">
        <v>41</v>
      </c>
      <c r="C56" s="54" t="inlineStr">
        <is>
          <t>602</t>
        </is>
      </c>
      <c r="D56" s="47" t="n"/>
      <c r="E56" s="47" t="n"/>
      <c r="F56" s="53">
        <f>IF($C56="","",IF(AND($D56&lt;&gt;"",$E56&lt;&gt;""),"🔁 B2B",IF($D56&lt;&gt;"","🧹 OUT",IF($E56&lt;&gt;"","🔑 ARR","🛏 Inhouse"))))</f>
        <v/>
      </c>
      <c r="G56" s="55">
        <f>IF($C56="","",IF(OR($F56="🧹 OUT",$F56="🔁 B2B"),MAX($D56,$E$8),$E$8))</f>
        <v/>
      </c>
      <c r="H56" s="55">
        <f>IF($C56="","",IF($E56&lt;&gt;"",$E56,IF($F56="🧹 OUT",MAX($E$9,$D56),$E$10)))</f>
        <v/>
      </c>
      <c r="I56" s="56">
        <f>IF($C56="","",IF(OR($F56="🧹 OUT",$F56="🔁 B2B"),'DINH MUC'!$C$3,IF($F56="🔑 ARR",'DINH MUC'!$C$11,'DINH MUC'!$C$5)))</f>
        <v/>
      </c>
      <c r="J56" s="46" t="n">
        <v>1</v>
      </c>
      <c r="K56" s="55">
        <f>IF($C56="","",MAX($G56,_xlfn.MAXIFS($L$15:$L55,$J$15:$J55,$J56)))</f>
        <v/>
      </c>
      <c r="L56" s="55">
        <f>IF($C56="","",$K56+$I56/1440)</f>
        <v/>
      </c>
      <c r="M56" s="57">
        <f>IF($C56="","",ROUND(($H56-$L56)*1440,0))</f>
        <v/>
      </c>
      <c r="N56" s="53">
        <f>IF($C56="","",IF($M56&lt;0,"🔴 Không kịp",IF($M56&lt;'DINH MUC'!$C$14,"🟠 Sát giờ",IF($M56&lt;'DINH MUC'!$C$15,"🟡 Chú ý","🟢 Kịp"))))</f>
        <v/>
      </c>
      <c r="O56" s="55">
        <f>IF($C56="","",$H56-$I56/1440)</f>
        <v/>
      </c>
    </row>
    <row r="57">
      <c r="B57" s="53" t="n">
        <v>42</v>
      </c>
      <c r="C57" s="54" t="inlineStr">
        <is>
          <t>707</t>
        </is>
      </c>
      <c r="D57" s="47" t="n"/>
      <c r="E57" s="47" t="n"/>
      <c r="F57" s="53">
        <f>IF($C57="","",IF(AND($D57&lt;&gt;"",$E57&lt;&gt;""),"🔁 B2B",IF($D57&lt;&gt;"","🧹 OUT",IF($E57&lt;&gt;"","🔑 ARR","🛏 Inhouse"))))</f>
        <v/>
      </c>
      <c r="G57" s="55">
        <f>IF($C57="","",IF(OR($F57="🧹 OUT",$F57="🔁 B2B"),MAX($D57,$E$8),$E$8))</f>
        <v/>
      </c>
      <c r="H57" s="55">
        <f>IF($C57="","",IF($E57&lt;&gt;"",$E57,IF($F57="🧹 OUT",MAX($E$9,$D57),$E$10)))</f>
        <v/>
      </c>
      <c r="I57" s="56">
        <f>IF($C57="","",IF(OR($F57="🧹 OUT",$F57="🔁 B2B"),'DINH MUC'!$C$3,IF($F57="🔑 ARR",'DINH MUC'!$C$11,'DINH MUC'!$C$5)))</f>
        <v/>
      </c>
      <c r="J57" s="46" t="n">
        <v>2</v>
      </c>
      <c r="K57" s="55">
        <f>IF($C57="","",MAX($G57,_xlfn.MAXIFS($L$15:$L56,$J$15:$J56,$J57)))</f>
        <v/>
      </c>
      <c r="L57" s="55">
        <f>IF($C57="","",$K57+$I57/1440)</f>
        <v/>
      </c>
      <c r="M57" s="57">
        <f>IF($C57="","",ROUND(($H57-$L57)*1440,0))</f>
        <v/>
      </c>
      <c r="N57" s="53">
        <f>IF($C57="","",IF($M57&lt;0,"🔴 Không kịp",IF($M57&lt;'DINH MUC'!$C$14,"🟠 Sát giờ",IF($M57&lt;'DINH MUC'!$C$15,"🟡 Chú ý","🟢 Kịp"))))</f>
        <v/>
      </c>
      <c r="O57" s="55">
        <f>IF($C57="","",$H57-$I57/1440)</f>
        <v/>
      </c>
    </row>
    <row r="58">
      <c r="B58" s="53" t="n">
        <v>43</v>
      </c>
      <c r="C58" s="54" t="inlineStr">
        <is>
          <t>802</t>
        </is>
      </c>
      <c r="D58" s="47" t="n"/>
      <c r="E58" s="47" t="n"/>
      <c r="F58" s="53">
        <f>IF($C58="","",IF(AND($D58&lt;&gt;"",$E58&lt;&gt;""),"🔁 B2B",IF($D58&lt;&gt;"","🧹 OUT",IF($E58&lt;&gt;"","🔑 ARR","🛏 Inhouse"))))</f>
        <v/>
      </c>
      <c r="G58" s="55">
        <f>IF($C58="","",IF(OR($F58="🧹 OUT",$F58="🔁 B2B"),MAX($D58,$E$8),$E$8))</f>
        <v/>
      </c>
      <c r="H58" s="55">
        <f>IF($C58="","",IF($E58&lt;&gt;"",$E58,IF($F58="🧹 OUT",MAX($E$9,$D58),$E$10)))</f>
        <v/>
      </c>
      <c r="I58" s="56">
        <f>IF($C58="","",IF(OR($F58="🧹 OUT",$F58="🔁 B2B"),'DINH MUC'!$C$3,IF($F58="🔑 ARR",'DINH MUC'!$C$11,'DINH MUC'!$C$5)))</f>
        <v/>
      </c>
      <c r="J58" s="46" t="n">
        <v>1</v>
      </c>
      <c r="K58" s="55">
        <f>IF($C58="","",MAX($G58,_xlfn.MAXIFS($L$15:$L57,$J$15:$J57,$J58)))</f>
        <v/>
      </c>
      <c r="L58" s="55">
        <f>IF($C58="","",$K58+$I58/1440)</f>
        <v/>
      </c>
      <c r="M58" s="57">
        <f>IF($C58="","",ROUND(($H58-$L58)*1440,0))</f>
        <v/>
      </c>
      <c r="N58" s="53">
        <f>IF($C58="","",IF($M58&lt;0,"🔴 Không kịp",IF($M58&lt;'DINH MUC'!$C$14,"🟠 Sát giờ",IF($M58&lt;'DINH MUC'!$C$15,"🟡 Chú ý","🟢 Kịp"))))</f>
        <v/>
      </c>
      <c r="O58" s="55">
        <f>IF($C58="","",$H58-$I58/1440)</f>
        <v/>
      </c>
    </row>
    <row r="59">
      <c r="B59" s="53" t="n">
        <v>44</v>
      </c>
      <c r="C59" s="54" t="inlineStr">
        <is>
          <t>906</t>
        </is>
      </c>
      <c r="D59" s="47" t="n"/>
      <c r="E59" s="47" t="n"/>
      <c r="F59" s="53">
        <f>IF($C59="","",IF(AND($D59&lt;&gt;"",$E59&lt;&gt;""),"🔁 B2B",IF($D59&lt;&gt;"","🧹 OUT",IF($E59&lt;&gt;"","🔑 ARR","🛏 Inhouse"))))</f>
        <v/>
      </c>
      <c r="G59" s="55">
        <f>IF($C59="","",IF(OR($F59="🧹 OUT",$F59="🔁 B2B"),MAX($D59,$E$8),$E$8))</f>
        <v/>
      </c>
      <c r="H59" s="55">
        <f>IF($C59="","",IF($E59&lt;&gt;"",$E59,IF($F59="🧹 OUT",MAX($E$9,$D59),$E$10)))</f>
        <v/>
      </c>
      <c r="I59" s="56">
        <f>IF($C59="","",IF(OR($F59="🧹 OUT",$F59="🔁 B2B"),'DINH MUC'!$C$3,IF($F59="🔑 ARR",'DINH MUC'!$C$11,'DINH MUC'!$C$5)))</f>
        <v/>
      </c>
      <c r="J59" s="46" t="n">
        <v>2</v>
      </c>
      <c r="K59" s="55">
        <f>IF($C59="","",MAX($G59,_xlfn.MAXIFS($L$15:$L58,$J$15:$J58,$J59)))</f>
        <v/>
      </c>
      <c r="L59" s="55">
        <f>IF($C59="","",$K59+$I59/1440)</f>
        <v/>
      </c>
      <c r="M59" s="57">
        <f>IF($C59="","",ROUND(($H59-$L59)*1440,0))</f>
        <v/>
      </c>
      <c r="N59" s="53">
        <f>IF($C59="","",IF($M59&lt;0,"🔴 Không kịp",IF($M59&lt;'DINH MUC'!$C$14,"🟠 Sát giờ",IF($M59&lt;'DINH MUC'!$C$15,"🟡 Chú ý","🟢 Kịp"))))</f>
        <v/>
      </c>
      <c r="O59" s="55">
        <f>IF($C59="","",$H59-$I59/1440)</f>
        <v/>
      </c>
    </row>
    <row r="60">
      <c r="B60" s="53" t="n">
        <v>45</v>
      </c>
      <c r="C60" s="54" t="inlineStr">
        <is>
          <t>1001</t>
        </is>
      </c>
      <c r="D60" s="47" t="n"/>
      <c r="E60" s="47" t="n"/>
      <c r="F60" s="53">
        <f>IF($C60="","",IF(AND($D60&lt;&gt;"",$E60&lt;&gt;""),"🔁 B2B",IF($D60&lt;&gt;"","🧹 OUT",IF($E60&lt;&gt;"","🔑 ARR","🛏 Inhouse"))))</f>
        <v/>
      </c>
      <c r="G60" s="55">
        <f>IF($C60="","",IF(OR($F60="🧹 OUT",$F60="🔁 B2B"),MAX($D60,$E$8),$E$8))</f>
        <v/>
      </c>
      <c r="H60" s="55">
        <f>IF($C60="","",IF($E60&lt;&gt;"",$E60,IF($F60="🧹 OUT",MAX($E$9,$D60),$E$10)))</f>
        <v/>
      </c>
      <c r="I60" s="56">
        <f>IF($C60="","",IF(OR($F60="🧹 OUT",$F60="🔁 B2B"),'DINH MUC'!$C$3,IF($F60="🔑 ARR",'DINH MUC'!$C$11,'DINH MUC'!$C$5)))</f>
        <v/>
      </c>
      <c r="J60" s="46" t="n">
        <v>1</v>
      </c>
      <c r="K60" s="55">
        <f>IF($C60="","",MAX($G60,_xlfn.MAXIFS($L$15:$L59,$J$15:$J59,$J60)))</f>
        <v/>
      </c>
      <c r="L60" s="55">
        <f>IF($C60="","",$K60+$I60/1440)</f>
        <v/>
      </c>
      <c r="M60" s="57">
        <f>IF($C60="","",ROUND(($H60-$L60)*1440,0))</f>
        <v/>
      </c>
      <c r="N60" s="53">
        <f>IF($C60="","",IF($M60&lt;0,"🔴 Không kịp",IF($M60&lt;'DINH MUC'!$C$14,"🟠 Sát giờ",IF($M60&lt;'DINH MUC'!$C$15,"🟡 Chú ý","🟢 Kịp"))))</f>
        <v/>
      </c>
      <c r="O60" s="55">
        <f>IF($C60="","",$H60-$I60/1440)</f>
        <v/>
      </c>
    </row>
    <row r="61">
      <c r="B61" s="53" t="n">
        <v>46</v>
      </c>
      <c r="C61" s="54" t="inlineStr">
        <is>
          <t>1101</t>
        </is>
      </c>
      <c r="D61" s="47" t="n"/>
      <c r="E61" s="47" t="n"/>
      <c r="F61" s="53">
        <f>IF($C61="","",IF(AND($D61&lt;&gt;"",$E61&lt;&gt;""),"🔁 B2B",IF($D61&lt;&gt;"","🧹 OUT",IF($E61&lt;&gt;"","🔑 ARR","🛏 Inhouse"))))</f>
        <v/>
      </c>
      <c r="G61" s="55">
        <f>IF($C61="","",IF(OR($F61="🧹 OUT",$F61="🔁 B2B"),MAX($D61,$E$8),$E$8))</f>
        <v/>
      </c>
      <c r="H61" s="55">
        <f>IF($C61="","",IF($E61&lt;&gt;"",$E61,IF($F61="🧹 OUT",MAX($E$9,$D61),$E$10)))</f>
        <v/>
      </c>
      <c r="I61" s="56">
        <f>IF($C61="","",IF(OR($F61="🧹 OUT",$F61="🔁 B2B"),'DINH MUC'!$C$3,IF($F61="🔑 ARR",'DINH MUC'!$C$11,'DINH MUC'!$C$5)))</f>
        <v/>
      </c>
      <c r="J61" s="46" t="n">
        <v>2</v>
      </c>
      <c r="K61" s="55">
        <f>IF($C61="","",MAX($G61,_xlfn.MAXIFS($L$15:$L60,$J$15:$J60,$J61)))</f>
        <v/>
      </c>
      <c r="L61" s="55">
        <f>IF($C61="","",$K61+$I61/1440)</f>
        <v/>
      </c>
      <c r="M61" s="57">
        <f>IF($C61="","",ROUND(($H61-$L61)*1440,0))</f>
        <v/>
      </c>
      <c r="N61" s="53">
        <f>IF($C61="","",IF($M61&lt;0,"🔴 Không kịp",IF($M61&lt;'DINH MUC'!$C$14,"🟠 Sát giờ",IF($M61&lt;'DINH MUC'!$C$15,"🟡 Chú ý","🟢 Kịp"))))</f>
        <v/>
      </c>
      <c r="O61" s="55">
        <f>IF($C61="","",$H61-$I61/1440)</f>
        <v/>
      </c>
    </row>
    <row r="62">
      <c r="B62" s="53" t="n">
        <v>47</v>
      </c>
      <c r="C62" s="54" t="inlineStr">
        <is>
          <t>1103</t>
        </is>
      </c>
      <c r="D62" s="47" t="n"/>
      <c r="E62" s="47" t="n"/>
      <c r="F62" s="53">
        <f>IF($C62="","",IF(AND($D62&lt;&gt;"",$E62&lt;&gt;""),"🔁 B2B",IF($D62&lt;&gt;"","🧹 OUT",IF($E62&lt;&gt;"","🔑 ARR","🛏 Inhouse"))))</f>
        <v/>
      </c>
      <c r="G62" s="55">
        <f>IF($C62="","",IF(OR($F62="🧹 OUT",$F62="🔁 B2B"),MAX($D62,$E$8),$E$8))</f>
        <v/>
      </c>
      <c r="H62" s="55">
        <f>IF($C62="","",IF($E62&lt;&gt;"",$E62,IF($F62="🧹 OUT",MAX($E$9,$D62),$E$10)))</f>
        <v/>
      </c>
      <c r="I62" s="56">
        <f>IF($C62="","",IF(OR($F62="🧹 OUT",$F62="🔁 B2B"),'DINH MUC'!$C$3,IF($F62="🔑 ARR",'DINH MUC'!$C$11,'DINH MUC'!$C$5)))</f>
        <v/>
      </c>
      <c r="J62" s="46" t="n">
        <v>1</v>
      </c>
      <c r="K62" s="55">
        <f>IF($C62="","",MAX($G62,_xlfn.MAXIFS($L$15:$L61,$J$15:$J61,$J62)))</f>
        <v/>
      </c>
      <c r="L62" s="55">
        <f>IF($C62="","",$K62+$I62/1440)</f>
        <v/>
      </c>
      <c r="M62" s="57">
        <f>IF($C62="","",ROUND(($H62-$L62)*1440,0))</f>
        <v/>
      </c>
      <c r="N62" s="53">
        <f>IF($C62="","",IF($M62&lt;0,"🔴 Không kịp",IF($M62&lt;'DINH MUC'!$C$14,"🟠 Sát giờ",IF($M62&lt;'DINH MUC'!$C$15,"🟡 Chú ý","🟢 Kịp"))))</f>
        <v/>
      </c>
      <c r="O62" s="55">
        <f>IF($C62="","",$H62-$I62/1440)</f>
        <v/>
      </c>
    </row>
    <row r="63">
      <c r="B63" s="53" t="n">
        <v>48</v>
      </c>
      <c r="C63" s="54" t="inlineStr">
        <is>
          <t>406</t>
        </is>
      </c>
      <c r="D63" s="47" t="n">
        <v>0.75</v>
      </c>
      <c r="E63" s="47" t="n"/>
      <c r="F63" s="53">
        <f>IF($C63="","",IF(AND($D63&lt;&gt;"",$E63&lt;&gt;""),"🔁 B2B",IF($D63&lt;&gt;"","🧹 OUT",IF($E63&lt;&gt;"","🔑 ARR","🛏 Inhouse"))))</f>
        <v/>
      </c>
      <c r="G63" s="55">
        <f>IF($C63="","",IF(OR($F63="🧹 OUT",$F63="🔁 B2B"),MAX($D63,$E$8),$E$8))</f>
        <v/>
      </c>
      <c r="H63" s="55">
        <f>IF($C63="","",IF($E63&lt;&gt;"",$E63,IF($F63="🧹 OUT",MAX($E$9,$D63),$E$10)))</f>
        <v/>
      </c>
      <c r="I63" s="56">
        <f>IF($C63="","",IF(OR($F63="🧹 OUT",$F63="🔁 B2B"),'DINH MUC'!$C$3,IF($F63="🔑 ARR",'DINH MUC'!$C$11,'DINH MUC'!$C$5)))</f>
        <v/>
      </c>
      <c r="J63" s="46" t="n">
        <v>1</v>
      </c>
      <c r="K63" s="55">
        <f>IF($C63="","",MAX($G63,_xlfn.MAXIFS($L$15:$L62,$J$15:$J62,$J63)))</f>
        <v/>
      </c>
      <c r="L63" s="55">
        <f>IF($C63="","",$K63+$I63/1440)</f>
        <v/>
      </c>
      <c r="M63" s="57">
        <f>IF($C63="","",ROUND(($H63-$L63)*1440,0))</f>
        <v/>
      </c>
      <c r="N63" s="53">
        <f>IF($C63="","",IF($M63&lt;0,"🔴 Không kịp",IF($M63&lt;'DINH MUC'!$C$14,"🟠 Sát giờ",IF($M63&lt;'DINH MUC'!$C$15,"🟡 Chú ý","🟢 Kịp"))))</f>
        <v/>
      </c>
      <c r="O63" s="55">
        <f>IF($C63="","",$H63-$I63/1440)</f>
        <v/>
      </c>
    </row>
    <row r="64">
      <c r="B64" s="53" t="n">
        <v>49</v>
      </c>
      <c r="C64" s="54" t="inlineStr">
        <is>
          <t>402</t>
        </is>
      </c>
      <c r="D64" s="47" t="n">
        <v>0.75</v>
      </c>
      <c r="E64" s="47" t="n"/>
      <c r="F64" s="53">
        <f>IF($C64="","",IF(AND($D64&lt;&gt;"",$E64&lt;&gt;""),"🔁 B2B",IF($D64&lt;&gt;"","🧹 OUT",IF($E64&lt;&gt;"","🔑 ARR","🛏 Inhouse"))))</f>
        <v/>
      </c>
      <c r="G64" s="55">
        <f>IF($C64="","",IF(OR($F64="🧹 OUT",$F64="🔁 B2B"),MAX($D64,$E$8),$E$8))</f>
        <v/>
      </c>
      <c r="H64" s="55">
        <f>IF($C64="","",IF($E64&lt;&gt;"",$E64,IF($F64="🧹 OUT",MAX($E$9,$D64),$E$10)))</f>
        <v/>
      </c>
      <c r="I64" s="56">
        <f>IF($C64="","",IF(OR($F64="🧹 OUT",$F64="🔁 B2B"),'DINH MUC'!$C$3,IF($F64="🔑 ARR",'DINH MUC'!$C$11,'DINH MUC'!$C$5)))</f>
        <v/>
      </c>
      <c r="J64" s="46" t="n">
        <v>2</v>
      </c>
      <c r="K64" s="55">
        <f>IF($C64="","",MAX($G64,_xlfn.MAXIFS($L$15:$L63,$J$15:$J63,$J64)))</f>
        <v/>
      </c>
      <c r="L64" s="55">
        <f>IF($C64="","",$K64+$I64/1440)</f>
        <v/>
      </c>
      <c r="M64" s="57">
        <f>IF($C64="","",ROUND(($H64-$L64)*1440,0))</f>
        <v/>
      </c>
      <c r="N64" s="53">
        <f>IF($C64="","",IF($M64&lt;0,"🔴 Không kịp",IF($M64&lt;'DINH MUC'!$C$14,"🟠 Sát giờ",IF($M64&lt;'DINH MUC'!$C$15,"🟡 Chú ý","🟢 Kịp"))))</f>
        <v/>
      </c>
      <c r="O64" s="55">
        <f>IF($C64="","",$H64-$I64/1440)</f>
        <v/>
      </c>
    </row>
    <row r="65">
      <c r="B65" s="53" t="n">
        <v>50</v>
      </c>
      <c r="C65" s="54" t="n"/>
      <c r="D65" s="47" t="n"/>
      <c r="E65" s="47" t="n"/>
      <c r="F65" s="53">
        <f>IF($C65="","",IF(AND($D65&lt;&gt;"",$E65&lt;&gt;""),"🔁 B2B",IF($D65&lt;&gt;"","🧹 OUT",IF($E65&lt;&gt;"","🔑 ARR","🛏 Inhouse"))))</f>
        <v/>
      </c>
      <c r="G65" s="55">
        <f>IF($C65="","",IF(OR($F65="🧹 OUT",$F65="🔁 B2B"),MAX($D65,$E$8),$E$8))</f>
        <v/>
      </c>
      <c r="H65" s="55">
        <f>IF($C65="","",IF($E65&lt;&gt;"",$E65,IF($F65="🧹 OUT",MAX($E$9,$D65),$E$10)))</f>
        <v/>
      </c>
      <c r="I65" s="56">
        <f>IF($C65="","",IF(OR($F65="🧹 OUT",$F65="🔁 B2B"),'DINH MUC'!$C$3,IF($F65="🔑 ARR",'DINH MUC'!$C$11,'DINH MUC'!$C$5)))</f>
        <v/>
      </c>
      <c r="J65" s="46" t="n"/>
      <c r="K65" s="55">
        <f>IF($C65="","",MAX($G65,_xlfn.MAXIFS($L$15:$L64,$J$15:$J64,$J65)))</f>
        <v/>
      </c>
      <c r="L65" s="55">
        <f>IF($C65="","",$K65+$I65/1440)</f>
        <v/>
      </c>
      <c r="M65" s="57">
        <f>IF($C65="","",ROUND(($H65-$L65)*1440,0))</f>
        <v/>
      </c>
      <c r="N65" s="53">
        <f>IF($C65="","",IF($M65&lt;0,"🔴 Không kịp",IF($M65&lt;'DINH MUC'!$C$14,"🟠 Sát giờ",IF($M65&lt;'DINH MUC'!$C$15,"🟡 Chú ý","🟢 Kịp"))))</f>
        <v/>
      </c>
      <c r="O65" s="55">
        <f>IF($C65="","",$H65-$I65/1440)</f>
        <v/>
      </c>
    </row>
    <row r="66">
      <c r="B66" s="53" t="n">
        <v>51</v>
      </c>
      <c r="C66" s="54" t="n"/>
      <c r="D66" s="47" t="n"/>
      <c r="E66" s="47" t="n"/>
      <c r="F66" s="53">
        <f>IF($C66="","",IF(AND($D66&lt;&gt;"",$E66&lt;&gt;""),"🔁 B2B",IF($D66&lt;&gt;"","🧹 OUT",IF($E66&lt;&gt;"","🔑 ARR","🛏 Inhouse"))))</f>
        <v/>
      </c>
      <c r="G66" s="55">
        <f>IF($C66="","",IF(OR($F66="🧹 OUT",$F66="🔁 B2B"),MAX($D66,$E$8),$E$8))</f>
        <v/>
      </c>
      <c r="H66" s="55">
        <f>IF($C66="","",IF($E66&lt;&gt;"",$E66,IF($F66="🧹 OUT",MAX($E$9,$D66),$E$10)))</f>
        <v/>
      </c>
      <c r="I66" s="56">
        <f>IF($C66="","",IF(OR($F66="🧹 OUT",$F66="🔁 B2B"),'DINH MUC'!$C$3,IF($F66="🔑 ARR",'DINH MUC'!$C$11,'DINH MUC'!$C$5)))</f>
        <v/>
      </c>
      <c r="J66" s="46" t="n"/>
      <c r="K66" s="55">
        <f>IF($C66="","",MAX($G66,_xlfn.MAXIFS($L$15:$L65,$J$15:$J65,$J66)))</f>
        <v/>
      </c>
      <c r="L66" s="55">
        <f>IF($C66="","",$K66+$I66/1440)</f>
        <v/>
      </c>
      <c r="M66" s="57">
        <f>IF($C66="","",ROUND(($H66-$L66)*1440,0))</f>
        <v/>
      </c>
      <c r="N66" s="53">
        <f>IF($C66="","",IF($M66&lt;0,"🔴 Không kịp",IF($M66&lt;'DINH MUC'!$C$14,"🟠 Sát giờ",IF($M66&lt;'DINH MUC'!$C$15,"🟡 Chú ý","🟢 Kịp"))))</f>
        <v/>
      </c>
      <c r="O66" s="55">
        <f>IF($C66="","",$H66-$I66/1440)</f>
        <v/>
      </c>
    </row>
    <row r="67">
      <c r="B67" s="53" t="n">
        <v>52</v>
      </c>
      <c r="C67" s="54" t="n"/>
      <c r="D67" s="47" t="n"/>
      <c r="E67" s="47" t="n"/>
      <c r="F67" s="53">
        <f>IF($C67="","",IF(AND($D67&lt;&gt;"",$E67&lt;&gt;""),"🔁 B2B",IF($D67&lt;&gt;"","🧹 OUT",IF($E67&lt;&gt;"","🔑 ARR","🛏 Inhouse"))))</f>
        <v/>
      </c>
      <c r="G67" s="55">
        <f>IF($C67="","",IF(OR($F67="🧹 OUT",$F67="🔁 B2B"),MAX($D67,$E$8),$E$8))</f>
        <v/>
      </c>
      <c r="H67" s="55">
        <f>IF($C67="","",IF($E67&lt;&gt;"",$E67,IF($F67="🧹 OUT",MAX($E$9,$D67),$E$10)))</f>
        <v/>
      </c>
      <c r="I67" s="56">
        <f>IF($C67="","",IF(OR($F67="🧹 OUT",$F67="🔁 B2B"),'DINH MUC'!$C$3,IF($F67="🔑 ARR",'DINH MUC'!$C$11,'DINH MUC'!$C$5)))</f>
        <v/>
      </c>
      <c r="J67" s="46" t="n"/>
      <c r="K67" s="55">
        <f>IF($C67="","",MAX($G67,_xlfn.MAXIFS($L$15:$L66,$J$15:$J66,$J67)))</f>
        <v/>
      </c>
      <c r="L67" s="55">
        <f>IF($C67="","",$K67+$I67/1440)</f>
        <v/>
      </c>
      <c r="M67" s="57">
        <f>IF($C67="","",ROUND(($H67-$L67)*1440,0))</f>
        <v/>
      </c>
      <c r="N67" s="53">
        <f>IF($C67="","",IF($M67&lt;0,"🔴 Không kịp",IF($M67&lt;'DINH MUC'!$C$14,"🟠 Sát giờ",IF($M67&lt;'DINH MUC'!$C$15,"🟡 Chú ý","🟢 Kịp"))))</f>
        <v/>
      </c>
      <c r="O67" s="55">
        <f>IF($C67="","",$H67-$I67/1440)</f>
        <v/>
      </c>
    </row>
    <row r="68">
      <c r="B68" s="53" t="n">
        <v>53</v>
      </c>
      <c r="C68" s="54" t="n"/>
      <c r="D68" s="47" t="n"/>
      <c r="E68" s="47" t="n"/>
      <c r="F68" s="53">
        <f>IF($C68="","",IF(AND($D68&lt;&gt;"",$E68&lt;&gt;""),"🔁 B2B",IF($D68&lt;&gt;"","🧹 OUT",IF($E68&lt;&gt;"","🔑 ARR","🛏 Inhouse"))))</f>
        <v/>
      </c>
      <c r="G68" s="55">
        <f>IF($C68="","",IF(OR($F68="🧹 OUT",$F68="🔁 B2B"),MAX($D68,$E$8),$E$8))</f>
        <v/>
      </c>
      <c r="H68" s="55">
        <f>IF($C68="","",IF($E68&lt;&gt;"",$E68,IF($F68="🧹 OUT",MAX($E$9,$D68),$E$10)))</f>
        <v/>
      </c>
      <c r="I68" s="56">
        <f>IF($C68="","",IF(OR($F68="🧹 OUT",$F68="🔁 B2B"),'DINH MUC'!$C$3,IF($F68="🔑 ARR",'DINH MUC'!$C$11,'DINH MUC'!$C$5)))</f>
        <v/>
      </c>
      <c r="J68" s="46" t="n"/>
      <c r="K68" s="55">
        <f>IF($C68="","",MAX($G68,_xlfn.MAXIFS($L$15:$L67,$J$15:$J67,$J68)))</f>
        <v/>
      </c>
      <c r="L68" s="55">
        <f>IF($C68="","",$K68+$I68/1440)</f>
        <v/>
      </c>
      <c r="M68" s="57">
        <f>IF($C68="","",ROUND(($H68-$L68)*1440,0))</f>
        <v/>
      </c>
      <c r="N68" s="53">
        <f>IF($C68="","",IF($M68&lt;0,"🔴 Không kịp",IF($M68&lt;'DINH MUC'!$C$14,"🟠 Sát giờ",IF($M68&lt;'DINH MUC'!$C$15,"🟡 Chú ý","🟢 Kịp"))))</f>
        <v/>
      </c>
      <c r="O68" s="55">
        <f>IF($C68="","",$H68-$I68/1440)</f>
        <v/>
      </c>
    </row>
    <row r="69">
      <c r="B69" s="53" t="n">
        <v>54</v>
      </c>
      <c r="C69" s="54" t="n"/>
      <c r="D69" s="47" t="n"/>
      <c r="E69" s="47" t="n"/>
      <c r="F69" s="53">
        <f>IF($C69="","",IF(AND($D69&lt;&gt;"",$E69&lt;&gt;""),"🔁 B2B",IF($D69&lt;&gt;"","🧹 OUT",IF($E69&lt;&gt;"","🔑 ARR","🛏 Inhouse"))))</f>
        <v/>
      </c>
      <c r="G69" s="55">
        <f>IF($C69="","",IF(OR($F69="🧹 OUT",$F69="🔁 B2B"),MAX($D69,$E$8),$E$8))</f>
        <v/>
      </c>
      <c r="H69" s="55">
        <f>IF($C69="","",IF($E69&lt;&gt;"",$E69,IF($F69="🧹 OUT",MAX($E$9,$D69),$E$10)))</f>
        <v/>
      </c>
      <c r="I69" s="56">
        <f>IF($C69="","",IF(OR($F69="🧹 OUT",$F69="🔁 B2B"),'DINH MUC'!$C$3,IF($F69="🔑 ARR",'DINH MUC'!$C$11,'DINH MUC'!$C$5)))</f>
        <v/>
      </c>
      <c r="J69" s="46" t="n"/>
      <c r="K69" s="55">
        <f>IF($C69="","",MAX($G69,_xlfn.MAXIFS($L$15:$L68,$J$15:$J68,$J69)))</f>
        <v/>
      </c>
      <c r="L69" s="55">
        <f>IF($C69="","",$K69+$I69/1440)</f>
        <v/>
      </c>
      <c r="M69" s="57">
        <f>IF($C69="","",ROUND(($H69-$L69)*1440,0))</f>
        <v/>
      </c>
      <c r="N69" s="53">
        <f>IF($C69="","",IF($M69&lt;0,"🔴 Không kịp",IF($M69&lt;'DINH MUC'!$C$14,"🟠 Sát giờ",IF($M69&lt;'DINH MUC'!$C$15,"🟡 Chú ý","🟢 Kịp"))))</f>
        <v/>
      </c>
      <c r="O69" s="55">
        <f>IF($C69="","",$H69-$I69/1440)</f>
        <v/>
      </c>
    </row>
    <row r="70">
      <c r="B70" s="53" t="n">
        <v>55</v>
      </c>
      <c r="C70" s="54" t="n"/>
      <c r="D70" s="47" t="n"/>
      <c r="E70" s="47" t="n"/>
      <c r="F70" s="53">
        <f>IF($C70="","",IF(AND($D70&lt;&gt;"",$E70&lt;&gt;""),"🔁 B2B",IF($D70&lt;&gt;"","🧹 OUT",IF($E70&lt;&gt;"","🔑 ARR","🛏 Inhouse"))))</f>
        <v/>
      </c>
      <c r="G70" s="55">
        <f>IF($C70="","",IF(OR($F70="🧹 OUT",$F70="🔁 B2B"),MAX($D70,$E$8),$E$8))</f>
        <v/>
      </c>
      <c r="H70" s="55">
        <f>IF($C70="","",IF($E70&lt;&gt;"",$E70,IF($F70="🧹 OUT",MAX($E$9,$D70),$E$10)))</f>
        <v/>
      </c>
      <c r="I70" s="56">
        <f>IF($C70="","",IF(OR($F70="🧹 OUT",$F70="🔁 B2B"),'DINH MUC'!$C$3,IF($F70="🔑 ARR",'DINH MUC'!$C$11,'DINH MUC'!$C$5)))</f>
        <v/>
      </c>
      <c r="J70" s="46" t="n"/>
      <c r="K70" s="55">
        <f>IF($C70="","",MAX($G70,_xlfn.MAXIFS($L$15:$L69,$J$15:$J69,$J70)))</f>
        <v/>
      </c>
      <c r="L70" s="55">
        <f>IF($C70="","",$K70+$I70/1440)</f>
        <v/>
      </c>
      <c r="M70" s="57">
        <f>IF($C70="","",ROUND(($H70-$L70)*1440,0))</f>
        <v/>
      </c>
      <c r="N70" s="53">
        <f>IF($C70="","",IF($M70&lt;0,"🔴 Không kịp",IF($M70&lt;'DINH MUC'!$C$14,"🟠 Sát giờ",IF($M70&lt;'DINH MUC'!$C$15,"🟡 Chú ý","🟢 Kịp"))))</f>
        <v/>
      </c>
      <c r="O70" s="55">
        <f>IF($C70="","",$H70-$I70/1440)</f>
        <v/>
      </c>
    </row>
    <row r="72" ht="30" customHeight="1">
      <c r="B72" s="43" t="inlineStr">
        <is>
          <t>• CÁCH DÙNG: (1) Nhập số Cặp ở ô vàng. (2) Nhập số phòng + giờ Check-out / Check-in cho từng phòng (để trống Check-in nếu chưa có khách; để trống cả 2 nếu là phòng Inhouse đang có khách). (3) Cột 'Cặp số' phân công phòng cho cặp nào — sửa để cân tải giữa các cặp. Bảng tự tính giờ bắt đầu–kết thúc và cảnh báo kịp/không kịp.</t>
        </is>
      </c>
    </row>
    <row r="73" ht="30" customHeight="1">
      <c r="B73" s="43" t="inlineStr">
        <is>
          <t>• THỨ TỰ LÀM: xếp các dòng từ trên xuống theo thứ tự sẽ làm (đề xuất: phòng có 'Hạn chót' sớm nhất làm trước — xem cột 'Bắt đầu trễ nhất', phòng nào giờ này sớm thì ưu tiên). Mỗi cặp làm lần lượt các phòng của mình từ trên xuống. Nếu chưa tới giờ Check-out của phòng OUT, cặp làm xen kẽ phòng Inhouse (đã tự chèn vào các khoảng trống buổi sáng).</t>
        </is>
      </c>
    </row>
    <row r="74" ht="30" customHeight="1">
      <c r="B74" s="43" t="inlineStr">
        <is>
          <t>• GIỜ BẮT ĐẦU của mỗi phòng = trễ hơn giữa (a) giờ phòng SẴN SÀNG (khách đã check-out, hoặc giờ bắt đầu ca với phòng trống/Inhouse) và (b) giờ cặp đó LÀM XONG phòng trước. 'Xong' = Bắt đầu + Phút cần. 'Phút cần' lấy định mức tab DINH MUC (OUT/B2B = cả cặp; ARR = kiểm tra nhanh; Inhouse = 1 người).</t>
        </is>
      </c>
    </row>
    <row r="75" ht="30" customHeight="1">
      <c r="B75" s="43" t="inlineStr">
        <is>
          <t>• CÒN/TRỄ = số phút dư trước Hạn chót (âm = trễ). Trạng thái: 🔴 Không kịp (trễ) · 🟠 Sát giờ (dư &lt; ngưỡng GẤP ở DINH MUC) · 🟡 Chú ý · 🟢 Kịp. Đây là thước đo thay cho 'xác suất trễ': dư càng ít, rủi ro trễ khi khách check-out/in lệch giờ càng cao. Chỉnh ngưỡng &amp; bộ đệm ở tab DINH MUC.</t>
        </is>
      </c>
    </row>
    <row r="76" ht="30" customHeight="1">
      <c r="B76" s="43" t="inlineStr">
        <is>
          <t>• XÁC SUẤT CHECK-IN/OUT LỆCH GIỜ: nếu biết khách check-in muộn, nhập giờ Check-in muộn hơn → phòng đó có nhiều thời gian hơn, được xếp sau. Khách check-out sớm → nhập giờ Check-out sớm → phòng sẵn sàng sớm, làm trước. Phòng OUT không rõ ARR mặc định hạn 14:00; khách nhận trễ thì có thể để phòng đó làm sau, ưu tiên phòng ARR đúng 14:00.</t>
        </is>
      </c>
    </row>
    <row r="77" ht="30" customHeight="1">
      <c r="B77" s="43" t="inlineStr">
        <is>
          <t>• Nếu có phòng 🔴 Không kịp: tăng 'Số cặp' (Sup xuống làm cùng NV thành thêm 1 cặp), hoặc thương lượng dời giờ nhận phòng, hoặc ưu tiên đúng các phòng ARR có giờ check-in sớm nhất và tạm hoãn phòng OUT chưa có khách.</t>
        </is>
      </c>
    </row>
    <row r="78" ht="30" customHeight="1">
      <c r="B78" s="43" t="inlineStr">
        <is>
          <t>• Dữ liệu đang là MẪU (ngày 19). Phòng Inhouse (205, 305, …) là ví dụ — thay bằng số phòng đang có khách thực tế. Giờ 18:00 của phòng 402/406 là check-out tối (sau giờ ca) nên hiện 🔴 — dọn ca sau hoặc kiểm tra lại giờ.</t>
        </is>
      </c>
    </row>
  </sheetData>
  <mergeCells count="21">
    <mergeCell ref="G7:O7"/>
    <mergeCell ref="B4:O4"/>
    <mergeCell ref="G10:O10"/>
    <mergeCell ref="B75:O75"/>
    <mergeCell ref="B8:D8"/>
    <mergeCell ref="B72:O72"/>
    <mergeCell ref="B3:O3"/>
    <mergeCell ref="B12:C12"/>
    <mergeCell ref="B10:D10"/>
    <mergeCell ref="B77:O77"/>
    <mergeCell ref="B2:O2"/>
    <mergeCell ref="B9:D9"/>
    <mergeCell ref="B14:O14"/>
    <mergeCell ref="B73:O73"/>
    <mergeCell ref="B78:O78"/>
    <mergeCell ref="G9:O9"/>
    <mergeCell ref="B7:D7"/>
    <mergeCell ref="B6:C6"/>
    <mergeCell ref="B74:O74"/>
    <mergeCell ref="B76:O76"/>
    <mergeCell ref="G8:O8"/>
  </mergeCells>
  <dataValidations count="1">
    <dataValidation sqref="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2026-07-17T16:22:23Z</dcterms:created>
  <dcterms:modified xsi:type="dcterms:W3CDTF">2026-07-17T17:03:42Z</dcterms:modified>
  <cp:revision>0</cp:revision>
</cp:coreProperties>
</file>